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ROJECT GST\RULE ENGINE\GSTR 9 and 9C Late Fess\"/>
    </mc:Choice>
  </mc:AlternateContent>
  <xr:revisionPtr revIDLastSave="0" documentId="13_ncr:1_{F252E2DD-2CEF-4894-A723-A9F3F92806DD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INPUT_FROM_PDF" sheetId="1" r:id="rId1"/>
    <sheet name="DUE_DATE_SCHEMA" sheetId="2" r:id="rId2"/>
    <sheet name="WAIVER_SCHEMA" sheetId="3" r:id="rId3"/>
    <sheet name="CALC_ENGINE" sheetId="4" r:id="rId4"/>
    <sheet name="OUTPU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4" l="1"/>
  <c r="B11" i="4"/>
  <c r="B12" i="4" s="1"/>
  <c r="B8" i="4"/>
  <c r="B6" i="4"/>
  <c r="B3" i="4"/>
  <c r="B4" i="4" s="1"/>
  <c r="B5" i="4" s="1"/>
  <c r="B7" i="4" s="1"/>
  <c r="B14" i="4" l="1"/>
  <c r="B4" i="5" s="1"/>
  <c r="B9" i="4"/>
  <c r="B3" i="5" s="1"/>
</calcChain>
</file>

<file path=xl/sharedStrings.xml><?xml version="1.0" encoding="utf-8"?>
<sst xmlns="http://schemas.openxmlformats.org/spreadsheetml/2006/main" count="143" uniqueCount="64">
  <si>
    <t>INPUT DATA (AUTO-EXTRACTED FROM GSTR-9 / 9C PDFs)</t>
  </si>
  <si>
    <t>Financial Year</t>
  </si>
  <si>
    <t>Aggregate Turnover</t>
  </si>
  <si>
    <t>GSTR-9 Filing Date</t>
  </si>
  <si>
    <t>GSTR-9C Filing Date</t>
  </si>
  <si>
    <t>DUE DATE SCHEMA (CBIC EXTENSIONS CONSOLIDATED)</t>
  </si>
  <si>
    <t>FY</t>
  </si>
  <si>
    <t>Return</t>
  </si>
  <si>
    <t>Final Due Date</t>
  </si>
  <si>
    <t>CBIC Reference</t>
  </si>
  <si>
    <t>2017-18</t>
  </si>
  <si>
    <t>GSTR-9</t>
  </si>
  <si>
    <t>2019-03-31</t>
  </si>
  <si>
    <t>Notif 74/2018</t>
  </si>
  <si>
    <t>GSTR-9C</t>
  </si>
  <si>
    <t>2018-19</t>
  </si>
  <si>
    <t>2020-01-31</t>
  </si>
  <si>
    <t>Notif 80/2019</t>
  </si>
  <si>
    <t>2019-20</t>
  </si>
  <si>
    <t>2021-02-28</t>
  </si>
  <si>
    <t>Notif 95/2020</t>
  </si>
  <si>
    <t>2020-21</t>
  </si>
  <si>
    <t>2022-02-28</t>
  </si>
  <si>
    <t>Notif 30/2021</t>
  </si>
  <si>
    <t>2021-22</t>
  </si>
  <si>
    <t>2022-12-31</t>
  </si>
  <si>
    <t>—</t>
  </si>
  <si>
    <t>2022-23</t>
  </si>
  <si>
    <t>2023-12-31</t>
  </si>
  <si>
    <t>WAIVER / AMNESTY SCHEMA (CBIC)</t>
  </si>
  <si>
    <t>Waiver Start</t>
  </si>
  <si>
    <t>Waiver End</t>
  </si>
  <si>
    <t>Waiver Type</t>
  </si>
  <si>
    <t>Cap Amount</t>
  </si>
  <si>
    <t>Priority</t>
  </si>
  <si>
    <t>2021-04-01</t>
  </si>
  <si>
    <t>2021-08-31</t>
  </si>
  <si>
    <t>FULL</t>
  </si>
  <si>
    <t>2022-04-01</t>
  </si>
  <si>
    <t>2022-07-31</t>
  </si>
  <si>
    <t>2018-01-01</t>
  </si>
  <si>
    <t>2025-03-31</t>
  </si>
  <si>
    <t>2019-01-01</t>
  </si>
  <si>
    <t>2020-01-01</t>
  </si>
  <si>
    <t>2021-01-01</t>
  </si>
  <si>
    <t>2022-01-01</t>
  </si>
  <si>
    <t>2023-01-01</t>
  </si>
  <si>
    <t>LATE FEE CALCULATION ENGINE</t>
  </si>
  <si>
    <t>GSTR-9 DUE DATE</t>
  </si>
  <si>
    <t>GSTR-9 DELAY DAYS</t>
  </si>
  <si>
    <t>GSTR-9 BASE LATE FEE</t>
  </si>
  <si>
    <t>GSTR-9 CAP (0.25%)</t>
  </si>
  <si>
    <t>GSTR-9 AFTER CAP</t>
  </si>
  <si>
    <t>GSTR-9 WAIVER APPLIED?</t>
  </si>
  <si>
    <t>GSTR-9 FINAL LATE FEE</t>
  </si>
  <si>
    <t>GSTR-9C DUE DATE</t>
  </si>
  <si>
    <t>GSTR-9C FILED LATE?</t>
  </si>
  <si>
    <t>GSTR-9C WAIVER APPLIED?</t>
  </si>
  <si>
    <t>GSTR-9C FINAL LATE FEE</t>
  </si>
  <si>
    <t>FINAL RESULT</t>
  </si>
  <si>
    <t>GSTR-9 Late Fee</t>
  </si>
  <si>
    <t>GSTR-9C Late Fee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</si>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</sst>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4" x14ac:dyDescent="0.55000000000000004"/>
  <sheetData>
    <row r="1" spans="1:1" x14ac:dyDescent="0.55000000000000004">
      <c r="A1" s="1" t="s">
        <v>0</v>
      </c>
    </row>
    <row r="3" spans="1:1" x14ac:dyDescent="0.55000000000000004">
      <c r="A3" t="s">
        <v>1</v>
      </c>
    </row>
    <row r="4" spans="1:1" x14ac:dyDescent="0.55000000000000004">
      <c r="A4" t="s">
        <v>2</v>
      </c>
    </row>
    <row r="5" spans="1:1" x14ac:dyDescent="0.55000000000000004">
      <c r="A5" t="s">
        <v>3</v>
      </c>
    </row>
    <row r="6" spans="1:1" x14ac:dyDescent="0.55000000000000004">
      <c r="A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selection activeCell="D16" sqref="D16:D19"/>
    </sheetView>
  </sheetViews>
  <sheetFormatPr defaultRowHeight="14.4" x14ac:dyDescent="0.55000000000000004"/>
  <cols>
    <col min="1" max="1" width="45.62890625" bestFit="1" customWidth="1"/>
    <col min="2" max="2" width="7.41796875" bestFit="1" customWidth="1"/>
    <col min="3" max="3" width="12.47265625" bestFit="1" customWidth="1"/>
    <col min="4" max="4" width="13.15625" bestFit="1" customWidth="1"/>
  </cols>
  <sheetData>
    <row r="1" spans="1:4" x14ac:dyDescent="0.55000000000000004">
      <c r="A1" s="1" t="s">
        <v>5</v>
      </c>
    </row>
    <row r="3" spans="1:4" x14ac:dyDescent="0.55000000000000004">
      <c r="A3" s="1" t="s">
        <v>6</v>
      </c>
      <c r="B3" s="1" t="s">
        <v>7</v>
      </c>
      <c r="C3" s="1" t="s">
        <v>8</v>
      </c>
      <c r="D3" s="1" t="s">
        <v>9</v>
      </c>
    </row>
    <row r="4" spans="1:4" x14ac:dyDescent="0.55000000000000004">
      <c r="A4" t="s">
        <v>10</v>
      </c>
      <c r="B4" t="s">
        <v>11</v>
      </c>
      <c r="C4" t="s">
        <v>12</v>
      </c>
      <c r="D4" t="s">
        <v>13</v>
      </c>
    </row>
    <row r="5" spans="1:4" x14ac:dyDescent="0.55000000000000004">
      <c r="A5" t="s">
        <v>10</v>
      </c>
      <c r="B5" t="s">
        <v>14</v>
      </c>
      <c r="C5" t="s">
        <v>12</v>
      </c>
      <c r="D5" t="s">
        <v>13</v>
      </c>
    </row>
    <row r="6" spans="1:4" x14ac:dyDescent="0.55000000000000004">
      <c r="A6" t="s">
        <v>15</v>
      </c>
      <c r="B6" t="s">
        <v>11</v>
      </c>
      <c r="C6" t="s">
        <v>16</v>
      </c>
      <c r="D6" t="s">
        <v>17</v>
      </c>
    </row>
    <row r="7" spans="1:4" x14ac:dyDescent="0.55000000000000004">
      <c r="A7" t="s">
        <v>15</v>
      </c>
      <c r="B7" t="s">
        <v>14</v>
      </c>
      <c r="C7" t="s">
        <v>16</v>
      </c>
      <c r="D7" t="s">
        <v>17</v>
      </c>
    </row>
    <row r="8" spans="1:4" x14ac:dyDescent="0.55000000000000004">
      <c r="A8" t="s">
        <v>18</v>
      </c>
      <c r="B8" t="s">
        <v>11</v>
      </c>
      <c r="C8" t="s">
        <v>19</v>
      </c>
      <c r="D8" t="s">
        <v>20</v>
      </c>
    </row>
    <row r="9" spans="1:4" x14ac:dyDescent="0.55000000000000004">
      <c r="A9" t="s">
        <v>18</v>
      </c>
      <c r="B9" t="s">
        <v>14</v>
      </c>
      <c r="C9" t="s">
        <v>19</v>
      </c>
      <c r="D9" t="s">
        <v>20</v>
      </c>
    </row>
    <row r="10" spans="1:4" x14ac:dyDescent="0.55000000000000004">
      <c r="A10" t="s">
        <v>21</v>
      </c>
      <c r="B10" t="s">
        <v>11</v>
      </c>
      <c r="C10" t="s">
        <v>22</v>
      </c>
      <c r="D10" t="s">
        <v>23</v>
      </c>
    </row>
    <row r="11" spans="1:4" x14ac:dyDescent="0.55000000000000004">
      <c r="A11" t="s">
        <v>21</v>
      </c>
      <c r="B11" t="s">
        <v>14</v>
      </c>
      <c r="C11" t="s">
        <v>22</v>
      </c>
      <c r="D11" t="s">
        <v>23</v>
      </c>
    </row>
    <row r="12" spans="1:4" x14ac:dyDescent="0.55000000000000004">
      <c r="A12" t="s">
        <v>24</v>
      </c>
      <c r="B12" t="s">
        <v>11</v>
      </c>
      <c r="C12" t="s">
        <v>25</v>
      </c>
      <c r="D12" t="s">
        <v>26</v>
      </c>
    </row>
    <row r="13" spans="1:4" x14ac:dyDescent="0.55000000000000004">
      <c r="A13" t="s">
        <v>24</v>
      </c>
      <c r="B13" t="s">
        <v>14</v>
      </c>
      <c r="C13" t="s">
        <v>25</v>
      </c>
      <c r="D13" t="s">
        <v>26</v>
      </c>
    </row>
    <row r="14" spans="1:4" x14ac:dyDescent="0.55000000000000004">
      <c r="A14" t="s">
        <v>27</v>
      </c>
      <c r="B14" t="s">
        <v>11</v>
      </c>
      <c r="C14" t="s">
        <v>28</v>
      </c>
      <c r="D14" t="s">
        <v>26</v>
      </c>
    </row>
    <row r="15" spans="1:4" x14ac:dyDescent="0.55000000000000004">
      <c r="A15" t="s">
        <v>27</v>
      </c>
      <c r="B15" t="s">
        <v>14</v>
      </c>
      <c r="C15" t="s">
        <v>28</v>
      </c>
      <c r="D15" t="s">
        <v>26</v>
      </c>
    </row>
    <row r="16" spans="1:4" x14ac:dyDescent="0.55000000000000004">
      <c r="A16" t="s">
        <v>62</v>
      </c>
      <c r="B16" t="s">
        <v>11</v>
      </c>
      <c r="C16" s="4">
        <v>45657</v>
      </c>
      <c r="D16" t="s">
        <v>26</v>
      </c>
    </row>
    <row r="17" spans="1:4" x14ac:dyDescent="0.55000000000000004">
      <c r="A17" t="s">
        <v>62</v>
      </c>
      <c r="B17" t="s">
        <v>14</v>
      </c>
      <c r="C17" s="4">
        <v>45657</v>
      </c>
      <c r="D17" t="s">
        <v>26</v>
      </c>
    </row>
    <row r="18" spans="1:4" x14ac:dyDescent="0.55000000000000004">
      <c r="A18" t="s">
        <v>63</v>
      </c>
      <c r="B18" t="s">
        <v>11</v>
      </c>
      <c r="C18" s="4">
        <v>46022</v>
      </c>
      <c r="D18" t="s">
        <v>26</v>
      </c>
    </row>
    <row r="19" spans="1:4" x14ac:dyDescent="0.55000000000000004">
      <c r="A19" t="s">
        <v>63</v>
      </c>
      <c r="B19" t="s">
        <v>14</v>
      </c>
      <c r="C19" s="4">
        <v>46022</v>
      </c>
      <c r="D19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11" sqref="C11"/>
    </sheetView>
  </sheetViews>
  <sheetFormatPr defaultRowHeight="14.4" x14ac:dyDescent="0.55000000000000004"/>
  <cols>
    <col min="1" max="1" width="30" bestFit="1" customWidth="1"/>
    <col min="2" max="2" width="7.41796875" bestFit="1" customWidth="1"/>
    <col min="3" max="3" width="10.83984375" bestFit="1" customWidth="1"/>
    <col min="4" max="4" width="10" bestFit="1" customWidth="1"/>
    <col min="5" max="5" width="10.89453125" bestFit="1" customWidth="1"/>
    <col min="6" max="6" width="10.734375" bestFit="1" customWidth="1"/>
    <col min="7" max="7" width="6.734375" bestFit="1" customWidth="1"/>
  </cols>
  <sheetData>
    <row r="1" spans="1:7" x14ac:dyDescent="0.55000000000000004">
      <c r="A1" s="1" t="s">
        <v>29</v>
      </c>
    </row>
    <row r="3" spans="1:7" x14ac:dyDescent="0.55000000000000004">
      <c r="A3" s="1" t="s">
        <v>6</v>
      </c>
      <c r="B3" s="1" t="s">
        <v>7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x14ac:dyDescent="0.55000000000000004">
      <c r="A4" t="s">
        <v>10</v>
      </c>
      <c r="B4" t="s">
        <v>11</v>
      </c>
      <c r="C4" t="s">
        <v>35</v>
      </c>
      <c r="D4" t="s">
        <v>36</v>
      </c>
      <c r="E4" t="s">
        <v>37</v>
      </c>
      <c r="F4">
        <v>0</v>
      </c>
      <c r="G4">
        <v>1</v>
      </c>
    </row>
    <row r="5" spans="1:7" x14ac:dyDescent="0.55000000000000004">
      <c r="A5" t="s">
        <v>15</v>
      </c>
      <c r="B5" t="s">
        <v>11</v>
      </c>
      <c r="C5" t="s">
        <v>35</v>
      </c>
      <c r="D5" t="s">
        <v>36</v>
      </c>
      <c r="E5" t="s">
        <v>37</v>
      </c>
      <c r="F5">
        <v>0</v>
      </c>
      <c r="G5">
        <v>1</v>
      </c>
    </row>
    <row r="6" spans="1:7" x14ac:dyDescent="0.55000000000000004">
      <c r="A6" t="s">
        <v>18</v>
      </c>
      <c r="B6" t="s">
        <v>11</v>
      </c>
      <c r="C6" t="s">
        <v>35</v>
      </c>
      <c r="D6" t="s">
        <v>36</v>
      </c>
      <c r="E6" t="s">
        <v>37</v>
      </c>
      <c r="F6">
        <v>0</v>
      </c>
      <c r="G6">
        <v>1</v>
      </c>
    </row>
    <row r="7" spans="1:7" x14ac:dyDescent="0.55000000000000004">
      <c r="A7" t="s">
        <v>21</v>
      </c>
      <c r="B7" t="s">
        <v>11</v>
      </c>
      <c r="C7" t="s">
        <v>38</v>
      </c>
      <c r="D7" t="s">
        <v>39</v>
      </c>
      <c r="E7" t="s">
        <v>37</v>
      </c>
      <c r="F7">
        <v>0</v>
      </c>
      <c r="G7">
        <v>1</v>
      </c>
    </row>
    <row r="8" spans="1:7" x14ac:dyDescent="0.55000000000000004">
      <c r="A8" t="s">
        <v>10</v>
      </c>
      <c r="B8" t="s">
        <v>14</v>
      </c>
      <c r="C8" t="s">
        <v>40</v>
      </c>
      <c r="D8" t="s">
        <v>41</v>
      </c>
      <c r="E8" t="s">
        <v>37</v>
      </c>
      <c r="F8">
        <v>0</v>
      </c>
      <c r="G8">
        <v>1</v>
      </c>
    </row>
    <row r="9" spans="1:7" x14ac:dyDescent="0.55000000000000004">
      <c r="A9" t="s">
        <v>15</v>
      </c>
      <c r="B9" t="s">
        <v>14</v>
      </c>
      <c r="C9" t="s">
        <v>42</v>
      </c>
      <c r="D9" t="s">
        <v>41</v>
      </c>
      <c r="E9" t="s">
        <v>37</v>
      </c>
      <c r="F9">
        <v>0</v>
      </c>
      <c r="G9">
        <v>1</v>
      </c>
    </row>
    <row r="10" spans="1:7" x14ac:dyDescent="0.55000000000000004">
      <c r="A10" t="s">
        <v>18</v>
      </c>
      <c r="B10" t="s">
        <v>14</v>
      </c>
      <c r="C10" t="s">
        <v>43</v>
      </c>
      <c r="D10" t="s">
        <v>41</v>
      </c>
      <c r="E10" t="s">
        <v>37</v>
      </c>
      <c r="F10">
        <v>0</v>
      </c>
      <c r="G10">
        <v>1</v>
      </c>
    </row>
    <row r="11" spans="1:7" x14ac:dyDescent="0.55000000000000004">
      <c r="A11" t="s">
        <v>21</v>
      </c>
      <c r="B11" t="s">
        <v>14</v>
      </c>
      <c r="C11" t="s">
        <v>44</v>
      </c>
      <c r="D11" t="s">
        <v>41</v>
      </c>
      <c r="E11" t="s">
        <v>37</v>
      </c>
      <c r="F11">
        <v>0</v>
      </c>
      <c r="G11">
        <v>1</v>
      </c>
    </row>
    <row r="12" spans="1:7" x14ac:dyDescent="0.55000000000000004">
      <c r="A12" t="s">
        <v>24</v>
      </c>
      <c r="B12" t="s">
        <v>14</v>
      </c>
      <c r="C12" t="s">
        <v>45</v>
      </c>
      <c r="D12" t="s">
        <v>41</v>
      </c>
      <c r="E12" t="s">
        <v>37</v>
      </c>
      <c r="F12">
        <v>0</v>
      </c>
      <c r="G12">
        <v>1</v>
      </c>
    </row>
    <row r="13" spans="1:7" x14ac:dyDescent="0.55000000000000004">
      <c r="A13" t="s">
        <v>27</v>
      </c>
      <c r="B13" t="s">
        <v>14</v>
      </c>
      <c r="C13" t="s">
        <v>46</v>
      </c>
      <c r="D13" t="s">
        <v>41</v>
      </c>
      <c r="E13" t="s">
        <v>37</v>
      </c>
      <c r="F13">
        <v>0</v>
      </c>
      <c r="G1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B7" sqref="B7"/>
    </sheetView>
  </sheetViews>
  <sheetFormatPr defaultRowHeight="14.4" x14ac:dyDescent="0.55000000000000004"/>
  <cols>
    <col min="1" max="1" width="26.47265625" bestFit="1" customWidth="1"/>
  </cols>
  <sheetData>
    <row r="1" spans="1:2" x14ac:dyDescent="0.55000000000000004">
      <c r="A1" s="1" t="s">
        <v>47</v>
      </c>
    </row>
    <row r="3" spans="1:2" x14ac:dyDescent="0.55000000000000004">
      <c r="A3" t="s">
        <v>48</v>
      </c>
      <c r="B3" t="str">
        <f>IFERROR(INDEX(DUE_DATE_SCHEMA!C:C,MATCH(1,(DUE_DATE_SCHEMA!A:A=INPUT_FROM_PDF!B3)*(DUE_DATE_SCHEMA!B:B="GSTR-9"),0)),"")</f>
        <v/>
      </c>
    </row>
    <row r="4" spans="1:2" x14ac:dyDescent="0.55000000000000004">
      <c r="A4" t="s">
        <v>49</v>
      </c>
      <c r="B4" t="str">
        <f>IF(OR(INPUT_FROM_PDF!B5="",B3=""),"",MAX(0,INPUT_FROM_PDF!B5-B3))</f>
        <v/>
      </c>
    </row>
    <row r="5" spans="1:2" x14ac:dyDescent="0.55000000000000004">
      <c r="A5" t="s">
        <v>50</v>
      </c>
      <c r="B5" t="e">
        <f>B4*200</f>
        <v>#VALUE!</v>
      </c>
    </row>
    <row r="6" spans="1:2" x14ac:dyDescent="0.55000000000000004">
      <c r="A6" t="s">
        <v>51</v>
      </c>
      <c r="B6">
        <f>IF(INPUT_FROM_PDF!B4="",0,INPUT_FROM_PDF!B4*0.0025)</f>
        <v>0</v>
      </c>
    </row>
    <row r="7" spans="1:2" x14ac:dyDescent="0.55000000000000004">
      <c r="A7" t="s">
        <v>52</v>
      </c>
      <c r="B7" t="e">
        <f>MIN(B5,B6)</f>
        <v>#VALUE!</v>
      </c>
    </row>
    <row r="8" spans="1:2" x14ac:dyDescent="0.55000000000000004">
      <c r="A8" t="s">
        <v>53</v>
      </c>
      <c r="B8" t="str">
        <f>IF(COUNTIFS(WAIVER_SCHEMA!A:A,INPUT_FROM_PDF!B3,WAIVER_SCHEMA!B:B,"GSTR-9",WAIVER_SCHEMA!C:C,"&lt;="&amp;INPUT_FROM_PDF!B5,WAIVER_SCHEMA!D:D,"&gt;="&amp;INPUT_FROM_PDF!B5)&gt;0,"Y","N")</f>
        <v>N</v>
      </c>
    </row>
    <row r="9" spans="1:2" x14ac:dyDescent="0.55000000000000004">
      <c r="A9" t="s">
        <v>54</v>
      </c>
      <c r="B9" t="e">
        <f>IF(B8="Y",0,B7)</f>
        <v>#VALUE!</v>
      </c>
    </row>
    <row r="11" spans="1:2" x14ac:dyDescent="0.55000000000000004">
      <c r="A11" t="s">
        <v>55</v>
      </c>
      <c r="B11" t="str">
        <f>IFERROR(INDEX(DUE_DATE_SCHEMA!C:C,MATCH(1,(DUE_DATE_SCHEMA!A:A=INPUT_FROM_PDF!B3)*(DUE_DATE_SCHEMA!B:B="GSTR-9C"),0)),"")</f>
        <v/>
      </c>
    </row>
    <row r="12" spans="1:2" x14ac:dyDescent="0.55000000000000004">
      <c r="A12" t="s">
        <v>56</v>
      </c>
      <c r="B12" t="str">
        <f>IF(OR(INPUT_FROM_PDF!B6="",B11=""),"",IF(INPUT_FROM_PDF!B6&gt;B11,"Y","N"))</f>
        <v/>
      </c>
    </row>
    <row r="13" spans="1:2" x14ac:dyDescent="0.55000000000000004">
      <c r="A13" t="s">
        <v>57</v>
      </c>
      <c r="B13" t="str">
        <f>IF(COUNTIFS(WAIVER_SCHEMA!A:A,INPUT_FROM_PDF!B3,WAIVER_SCHEMA!B:B,"GSTR-9C",WAIVER_SCHEMA!C:C,"&lt;="&amp;INPUT_FROM_PDF!B6,WAIVER_SCHEMA!D:D,"&gt;="&amp;INPUT_FROM_PDF!B6)&gt;0,"Y","N")</f>
        <v>N</v>
      </c>
    </row>
    <row r="14" spans="1:2" x14ac:dyDescent="0.55000000000000004">
      <c r="A14" t="s">
        <v>58</v>
      </c>
      <c r="B14">
        <f>IF(B13="Y",0,IF(B12="Y",10000,0))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sqref="A1:C1"/>
    </sheetView>
  </sheetViews>
  <sheetFormatPr defaultRowHeight="14.4" x14ac:dyDescent="0.55000000000000004"/>
  <sheetData>
    <row r="1" spans="1:3" x14ac:dyDescent="0.55000000000000004">
      <c r="A1" s="2" t="s">
        <v>59</v>
      </c>
      <c r="B1" s="3"/>
      <c r="C1" s="3"/>
    </row>
    <row r="3" spans="1:3" x14ac:dyDescent="0.55000000000000004">
      <c r="A3" t="s">
        <v>60</v>
      </c>
      <c r="B3" t="e">
        <f>CALC_ENGINE!B9</f>
        <v>#VALUE!</v>
      </c>
    </row>
    <row r="4" spans="1:3" x14ac:dyDescent="0.55000000000000004">
      <c r="A4" t="s">
        <v>61</v>
      </c>
      <c r="B4">
        <f>CALC_ENGINE!B14</f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INPUT_FROM_PDF</vt:lpstr>
      <vt:lpstr>DUE_DATE_SCHEMA</vt:lpstr>
      <vt:lpstr>WAIVER_SCHEMA</vt:lpstr>
      <vt:lpstr>CALC_ENGINE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k35077</cp:lastModifiedBy>
  <dcterms:created xsi:type="dcterms:W3CDTF">2026-01-11T08:39:15Z</dcterms:created>
  <dcterms:modified xsi:type="dcterms:W3CDTF">2026-01-11T08:49:11Z</dcterms:modified>
</cp:coreProperties>
</file>