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ROJECT GST\RULE ENGINE\Interest late filing GSTR3B\"/>
    </mc:Choice>
  </mc:AlternateContent>
  <xr:revisionPtr revIDLastSave="0" documentId="8_{BDC1A129-A8C4-4BD0-A700-202B34063225}" xr6:coauthVersionLast="47" xr6:coauthVersionMax="47" xr10:uidLastSave="{00000000-0000-0000-0000-000000000000}"/>
  <bookViews>
    <workbookView xWindow="-96" yWindow="-96" windowWidth="23232" windowHeight="12432" activeTab="4" xr2:uid="{00000000-000D-0000-FFFF-FFFF00000000}"/>
  </bookViews>
  <sheets>
    <sheet name="INPUT" sheetId="1" r:id="rId1"/>
    <sheet name="DUE_DATE_MASTER" sheetId="2" r:id="rId2"/>
    <sheet name="INTEREST_RELIEF_RULES" sheetId="3" r:id="rId3"/>
    <sheet name="CALC" sheetId="4" r:id="rId4"/>
    <sheet name="OUTPU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S63" i="4"/>
  <c r="L63" i="4"/>
  <c r="K63" i="4"/>
  <c r="J63" i="4"/>
  <c r="G63" i="4"/>
  <c r="F63" i="4"/>
  <c r="E63" i="4"/>
  <c r="D63" i="4"/>
  <c r="C63" i="4"/>
  <c r="H63" i="4" s="1"/>
  <c r="B63" i="4"/>
  <c r="A63" i="4"/>
  <c r="S62" i="4"/>
  <c r="L62" i="4"/>
  <c r="K62" i="4"/>
  <c r="J62" i="4"/>
  <c r="G62" i="4"/>
  <c r="E62" i="4"/>
  <c r="D62" i="4"/>
  <c r="C62" i="4"/>
  <c r="H62" i="4" s="1"/>
  <c r="B62" i="4"/>
  <c r="A62" i="4"/>
  <c r="S61" i="4"/>
  <c r="L61" i="4"/>
  <c r="K61" i="4"/>
  <c r="J61" i="4"/>
  <c r="H61" i="4"/>
  <c r="I61" i="4" s="1"/>
  <c r="G61" i="4"/>
  <c r="E61" i="4"/>
  <c r="D61" i="4"/>
  <c r="C61" i="4"/>
  <c r="B61" i="4"/>
  <c r="A61" i="4"/>
  <c r="S60" i="4"/>
  <c r="L60" i="4"/>
  <c r="K60" i="4"/>
  <c r="J60" i="4"/>
  <c r="H60" i="4"/>
  <c r="I60" i="4" s="1"/>
  <c r="G60" i="4"/>
  <c r="E60" i="4"/>
  <c r="D60" i="4"/>
  <c r="C60" i="4"/>
  <c r="B60" i="4"/>
  <c r="A60" i="4"/>
  <c r="S59" i="4"/>
  <c r="L59" i="4"/>
  <c r="K59" i="4"/>
  <c r="J59" i="4"/>
  <c r="H59" i="4"/>
  <c r="I59" i="4" s="1"/>
  <c r="G59" i="4"/>
  <c r="E59" i="4"/>
  <c r="D59" i="4"/>
  <c r="C59" i="4"/>
  <c r="B59" i="4"/>
  <c r="A59" i="4"/>
  <c r="S58" i="4"/>
  <c r="L58" i="4"/>
  <c r="K58" i="4"/>
  <c r="J58" i="4"/>
  <c r="H58" i="4"/>
  <c r="I58" i="4" s="1"/>
  <c r="G58" i="4"/>
  <c r="E58" i="4"/>
  <c r="D58" i="4"/>
  <c r="C58" i="4"/>
  <c r="B58" i="4"/>
  <c r="A58" i="4"/>
  <c r="S57" i="4"/>
  <c r="L57" i="4"/>
  <c r="K57" i="4"/>
  <c r="J57" i="4"/>
  <c r="H57" i="4"/>
  <c r="I57" i="4" s="1"/>
  <c r="G57" i="4"/>
  <c r="E57" i="4"/>
  <c r="D57" i="4"/>
  <c r="C57" i="4"/>
  <c r="B57" i="4"/>
  <c r="A57" i="4"/>
  <c r="S56" i="4"/>
  <c r="L56" i="4"/>
  <c r="K56" i="4"/>
  <c r="J56" i="4"/>
  <c r="G56" i="4"/>
  <c r="E56" i="4"/>
  <c r="D56" i="4"/>
  <c r="C56" i="4"/>
  <c r="H56" i="4" s="1"/>
  <c r="I56" i="4" s="1"/>
  <c r="B56" i="4"/>
  <c r="A56" i="4"/>
  <c r="S55" i="4"/>
  <c r="L55" i="4"/>
  <c r="K55" i="4"/>
  <c r="J55" i="4"/>
  <c r="G55" i="4"/>
  <c r="E55" i="4"/>
  <c r="D55" i="4"/>
  <c r="C55" i="4"/>
  <c r="H55" i="4" s="1"/>
  <c r="B55" i="4"/>
  <c r="A55" i="4"/>
  <c r="S54" i="4"/>
  <c r="L54" i="4"/>
  <c r="K54" i="4"/>
  <c r="J54" i="4"/>
  <c r="G54" i="4"/>
  <c r="E54" i="4"/>
  <c r="D54" i="4"/>
  <c r="C54" i="4"/>
  <c r="H54" i="4" s="1"/>
  <c r="I54" i="4" s="1"/>
  <c r="B54" i="4"/>
  <c r="A54" i="4"/>
  <c r="S53" i="4"/>
  <c r="L53" i="4"/>
  <c r="K53" i="4"/>
  <c r="J53" i="4"/>
  <c r="G53" i="4"/>
  <c r="E53" i="4"/>
  <c r="D53" i="4"/>
  <c r="C53" i="4"/>
  <c r="H53" i="4" s="1"/>
  <c r="I53" i="4" s="1"/>
  <c r="B53" i="4"/>
  <c r="A53" i="4"/>
  <c r="S52" i="4"/>
  <c r="L52" i="4"/>
  <c r="K52" i="4"/>
  <c r="J52" i="4"/>
  <c r="G52" i="4"/>
  <c r="E52" i="4"/>
  <c r="D52" i="4"/>
  <c r="C52" i="4"/>
  <c r="H52" i="4" s="1"/>
  <c r="B52" i="4"/>
  <c r="A52" i="4"/>
  <c r="S51" i="4"/>
  <c r="L51" i="4"/>
  <c r="K51" i="4"/>
  <c r="J51" i="4"/>
  <c r="G51" i="4"/>
  <c r="F51" i="4"/>
  <c r="E51" i="4"/>
  <c r="D51" i="4"/>
  <c r="C51" i="4"/>
  <c r="H51" i="4" s="1"/>
  <c r="B51" i="4"/>
  <c r="A51" i="4"/>
  <c r="S50" i="4"/>
  <c r="L50" i="4"/>
  <c r="K50" i="4"/>
  <c r="J50" i="4"/>
  <c r="G50" i="4"/>
  <c r="I50" i="4" s="1"/>
  <c r="F50" i="4"/>
  <c r="E50" i="4"/>
  <c r="D50" i="4"/>
  <c r="C50" i="4"/>
  <c r="H50" i="4" s="1"/>
  <c r="B50" i="4"/>
  <c r="A50" i="4"/>
  <c r="S49" i="4"/>
  <c r="L49" i="4"/>
  <c r="K49" i="4"/>
  <c r="J49" i="4"/>
  <c r="G49" i="4"/>
  <c r="E49" i="4"/>
  <c r="D49" i="4"/>
  <c r="H49" i="4" s="1"/>
  <c r="C49" i="4"/>
  <c r="B49" i="4"/>
  <c r="A49" i="4"/>
  <c r="S48" i="4"/>
  <c r="L48" i="4"/>
  <c r="K48" i="4"/>
  <c r="J48" i="4"/>
  <c r="G48" i="4"/>
  <c r="F48" i="4"/>
  <c r="E48" i="4"/>
  <c r="H48" i="4" s="1"/>
  <c r="D48" i="4"/>
  <c r="C48" i="4"/>
  <c r="B48" i="4"/>
  <c r="A48" i="4"/>
  <c r="S47" i="4"/>
  <c r="L47" i="4"/>
  <c r="K47" i="4"/>
  <c r="J47" i="4"/>
  <c r="H47" i="4"/>
  <c r="G47" i="4"/>
  <c r="F47" i="4"/>
  <c r="E47" i="4"/>
  <c r="D47" i="4"/>
  <c r="C47" i="4"/>
  <c r="B47" i="4"/>
  <c r="A47" i="4"/>
  <c r="S46" i="4"/>
  <c r="L46" i="4"/>
  <c r="K46" i="4"/>
  <c r="J46" i="4"/>
  <c r="H46" i="4"/>
  <c r="I46" i="4" s="1"/>
  <c r="G46" i="4"/>
  <c r="E46" i="4"/>
  <c r="D46" i="4"/>
  <c r="C46" i="4"/>
  <c r="B46" i="4"/>
  <c r="A46" i="4"/>
  <c r="S45" i="4"/>
  <c r="L45" i="4"/>
  <c r="K45" i="4"/>
  <c r="J45" i="4"/>
  <c r="H45" i="4"/>
  <c r="I45" i="4" s="1"/>
  <c r="G45" i="4"/>
  <c r="E45" i="4"/>
  <c r="D45" i="4"/>
  <c r="C45" i="4"/>
  <c r="B45" i="4"/>
  <c r="A45" i="4"/>
  <c r="S44" i="4"/>
  <c r="L44" i="4"/>
  <c r="K44" i="4"/>
  <c r="J44" i="4"/>
  <c r="G44" i="4"/>
  <c r="E44" i="4"/>
  <c r="D44" i="4"/>
  <c r="C44" i="4"/>
  <c r="H44" i="4" s="1"/>
  <c r="I44" i="4" s="1"/>
  <c r="B44" i="4"/>
  <c r="A44" i="4"/>
  <c r="S43" i="4"/>
  <c r="L43" i="4"/>
  <c r="K43" i="4"/>
  <c r="J43" i="4"/>
  <c r="G43" i="4"/>
  <c r="E43" i="4"/>
  <c r="D43" i="4"/>
  <c r="C43" i="4"/>
  <c r="H43" i="4" s="1"/>
  <c r="B43" i="4"/>
  <c r="A43" i="4"/>
  <c r="S42" i="4"/>
  <c r="L42" i="4"/>
  <c r="K42" i="4"/>
  <c r="J42" i="4"/>
  <c r="G42" i="4"/>
  <c r="E42" i="4"/>
  <c r="D42" i="4"/>
  <c r="C42" i="4"/>
  <c r="H42" i="4" s="1"/>
  <c r="I42" i="4" s="1"/>
  <c r="B42" i="4"/>
  <c r="A42" i="4"/>
  <c r="S41" i="4"/>
  <c r="L41" i="4"/>
  <c r="K41" i="4"/>
  <c r="J41" i="4"/>
  <c r="G41" i="4"/>
  <c r="E41" i="4"/>
  <c r="D41" i="4"/>
  <c r="C41" i="4"/>
  <c r="H41" i="4" s="1"/>
  <c r="I41" i="4" s="1"/>
  <c r="B41" i="4"/>
  <c r="A41" i="4"/>
  <c r="S40" i="4"/>
  <c r="L40" i="4"/>
  <c r="K40" i="4"/>
  <c r="J40" i="4"/>
  <c r="G40" i="4"/>
  <c r="I40" i="4" s="1"/>
  <c r="E40" i="4"/>
  <c r="D40" i="4"/>
  <c r="C40" i="4"/>
  <c r="H40" i="4" s="1"/>
  <c r="B40" i="4"/>
  <c r="A40" i="4"/>
  <c r="S39" i="4"/>
  <c r="L39" i="4"/>
  <c r="K39" i="4"/>
  <c r="J39" i="4"/>
  <c r="G39" i="4"/>
  <c r="F39" i="4"/>
  <c r="E39" i="4"/>
  <c r="D39" i="4"/>
  <c r="C39" i="4"/>
  <c r="H39" i="4" s="1"/>
  <c r="B39" i="4"/>
  <c r="A39" i="4"/>
  <c r="S38" i="4"/>
  <c r="L38" i="4"/>
  <c r="K38" i="4"/>
  <c r="J38" i="4"/>
  <c r="G38" i="4"/>
  <c r="F38" i="4"/>
  <c r="E38" i="4"/>
  <c r="D38" i="4"/>
  <c r="C38" i="4"/>
  <c r="H38" i="4" s="1"/>
  <c r="B38" i="4"/>
  <c r="A38" i="4"/>
  <c r="S37" i="4"/>
  <c r="L37" i="4"/>
  <c r="K37" i="4"/>
  <c r="J37" i="4"/>
  <c r="G37" i="4"/>
  <c r="E37" i="4"/>
  <c r="D37" i="4"/>
  <c r="H37" i="4" s="1"/>
  <c r="C37" i="4"/>
  <c r="B37" i="4"/>
  <c r="A37" i="4"/>
  <c r="S36" i="4"/>
  <c r="L36" i="4"/>
  <c r="K36" i="4"/>
  <c r="J36" i="4"/>
  <c r="H36" i="4"/>
  <c r="G36" i="4"/>
  <c r="I36" i="4" s="1"/>
  <c r="F36" i="4"/>
  <c r="E36" i="4"/>
  <c r="D36" i="4"/>
  <c r="C36" i="4"/>
  <c r="B36" i="4"/>
  <c r="A36" i="4"/>
  <c r="S35" i="4"/>
  <c r="L35" i="4"/>
  <c r="K35" i="4"/>
  <c r="J35" i="4"/>
  <c r="H35" i="4"/>
  <c r="G35" i="4"/>
  <c r="I35" i="4" s="1"/>
  <c r="F35" i="4"/>
  <c r="E35" i="4"/>
  <c r="D35" i="4"/>
  <c r="C35" i="4"/>
  <c r="B35" i="4"/>
  <c r="A35" i="4"/>
  <c r="S34" i="4"/>
  <c r="L34" i="4"/>
  <c r="K34" i="4"/>
  <c r="J34" i="4"/>
  <c r="H34" i="4"/>
  <c r="G34" i="4"/>
  <c r="I34" i="4" s="1"/>
  <c r="E34" i="4"/>
  <c r="D34" i="4"/>
  <c r="C34" i="4"/>
  <c r="B34" i="4"/>
  <c r="A34" i="4"/>
  <c r="S33" i="4"/>
  <c r="L33" i="4"/>
  <c r="K33" i="4"/>
  <c r="J33" i="4"/>
  <c r="H33" i="4"/>
  <c r="I33" i="4" s="1"/>
  <c r="G33" i="4"/>
  <c r="E33" i="4"/>
  <c r="D33" i="4"/>
  <c r="C33" i="4"/>
  <c r="B33" i="4"/>
  <c r="A33" i="4"/>
  <c r="S32" i="4"/>
  <c r="L32" i="4"/>
  <c r="K32" i="4"/>
  <c r="J32" i="4"/>
  <c r="G32" i="4"/>
  <c r="E32" i="4"/>
  <c r="D32" i="4"/>
  <c r="C32" i="4"/>
  <c r="H32" i="4" s="1"/>
  <c r="I32" i="4" s="1"/>
  <c r="B32" i="4"/>
  <c r="A32" i="4"/>
  <c r="S31" i="4"/>
  <c r="L31" i="4"/>
  <c r="K31" i="4"/>
  <c r="J31" i="4"/>
  <c r="G31" i="4"/>
  <c r="E31" i="4"/>
  <c r="D31" i="4"/>
  <c r="C31" i="4"/>
  <c r="H31" i="4" s="1"/>
  <c r="B31" i="4"/>
  <c r="A31" i="4"/>
  <c r="S30" i="4"/>
  <c r="L30" i="4"/>
  <c r="K30" i="4"/>
  <c r="J30" i="4"/>
  <c r="G30" i="4"/>
  <c r="E30" i="4"/>
  <c r="D30" i="4"/>
  <c r="C30" i="4"/>
  <c r="H30" i="4" s="1"/>
  <c r="I30" i="4" s="1"/>
  <c r="B30" i="4"/>
  <c r="A30" i="4"/>
  <c r="S29" i="4"/>
  <c r="L29" i="4"/>
  <c r="K29" i="4"/>
  <c r="J29" i="4"/>
  <c r="G29" i="4"/>
  <c r="E29" i="4"/>
  <c r="D29" i="4"/>
  <c r="C29" i="4"/>
  <c r="H29" i="4" s="1"/>
  <c r="I29" i="4" s="1"/>
  <c r="B29" i="4"/>
  <c r="A29" i="4"/>
  <c r="S28" i="4"/>
  <c r="L28" i="4"/>
  <c r="K28" i="4"/>
  <c r="J28" i="4"/>
  <c r="G28" i="4"/>
  <c r="E28" i="4"/>
  <c r="D28" i="4"/>
  <c r="C28" i="4"/>
  <c r="H28" i="4" s="1"/>
  <c r="B28" i="4"/>
  <c r="A28" i="4"/>
  <c r="S27" i="4"/>
  <c r="L27" i="4"/>
  <c r="K27" i="4"/>
  <c r="J27" i="4"/>
  <c r="G27" i="4"/>
  <c r="F27" i="4"/>
  <c r="E27" i="4"/>
  <c r="D27" i="4"/>
  <c r="C27" i="4"/>
  <c r="H27" i="4" s="1"/>
  <c r="B27" i="4"/>
  <c r="A27" i="4"/>
  <c r="S26" i="4"/>
  <c r="L26" i="4"/>
  <c r="K26" i="4"/>
  <c r="J26" i="4"/>
  <c r="G26" i="4"/>
  <c r="F26" i="4"/>
  <c r="E26" i="4"/>
  <c r="D26" i="4"/>
  <c r="C26" i="4"/>
  <c r="H26" i="4" s="1"/>
  <c r="B26" i="4"/>
  <c r="A26" i="4"/>
  <c r="S25" i="4"/>
  <c r="L25" i="4"/>
  <c r="K25" i="4"/>
  <c r="J25" i="4"/>
  <c r="G25" i="4"/>
  <c r="E25" i="4"/>
  <c r="D25" i="4"/>
  <c r="H25" i="4" s="1"/>
  <c r="C25" i="4"/>
  <c r="B25" i="4"/>
  <c r="A25" i="4"/>
  <c r="S24" i="4"/>
  <c r="L24" i="4"/>
  <c r="K24" i="4"/>
  <c r="J24" i="4"/>
  <c r="G24" i="4"/>
  <c r="F24" i="4"/>
  <c r="E24" i="4"/>
  <c r="H24" i="4" s="1"/>
  <c r="D24" i="4"/>
  <c r="C24" i="4"/>
  <c r="B24" i="4"/>
  <c r="A24" i="4"/>
  <c r="S23" i="4"/>
  <c r="L23" i="4"/>
  <c r="K23" i="4"/>
  <c r="J23" i="4"/>
  <c r="H23" i="4"/>
  <c r="G23" i="4"/>
  <c r="F23" i="4"/>
  <c r="E23" i="4"/>
  <c r="D23" i="4"/>
  <c r="C23" i="4"/>
  <c r="B23" i="4"/>
  <c r="A23" i="4"/>
  <c r="S22" i="4"/>
  <c r="L22" i="4"/>
  <c r="K22" i="4"/>
  <c r="J22" i="4"/>
  <c r="H22" i="4"/>
  <c r="G22" i="4"/>
  <c r="E22" i="4"/>
  <c r="D22" i="4"/>
  <c r="C22" i="4"/>
  <c r="B22" i="4"/>
  <c r="A22" i="4"/>
  <c r="S21" i="4"/>
  <c r="L21" i="4"/>
  <c r="K21" i="4"/>
  <c r="J21" i="4"/>
  <c r="H21" i="4"/>
  <c r="I21" i="4" s="1"/>
  <c r="G21" i="4"/>
  <c r="E21" i="4"/>
  <c r="D21" i="4"/>
  <c r="C21" i="4"/>
  <c r="B21" i="4"/>
  <c r="A21" i="4"/>
  <c r="S20" i="4"/>
  <c r="L20" i="4"/>
  <c r="K20" i="4"/>
  <c r="J20" i="4"/>
  <c r="G20" i="4"/>
  <c r="E20" i="4"/>
  <c r="D20" i="4"/>
  <c r="C20" i="4"/>
  <c r="H20" i="4" s="1"/>
  <c r="I20" i="4" s="1"/>
  <c r="B20" i="4"/>
  <c r="A20" i="4"/>
  <c r="S19" i="4"/>
  <c r="L19" i="4"/>
  <c r="K19" i="4"/>
  <c r="J19" i="4"/>
  <c r="G19" i="4"/>
  <c r="E19" i="4"/>
  <c r="D19" i="4"/>
  <c r="C19" i="4"/>
  <c r="H19" i="4" s="1"/>
  <c r="B19" i="4"/>
  <c r="A19" i="4"/>
  <c r="S18" i="4"/>
  <c r="L18" i="4"/>
  <c r="K18" i="4"/>
  <c r="J18" i="4"/>
  <c r="G18" i="4"/>
  <c r="E18" i="4"/>
  <c r="D18" i="4"/>
  <c r="C18" i="4"/>
  <c r="H18" i="4" s="1"/>
  <c r="B18" i="4"/>
  <c r="A18" i="4"/>
  <c r="S17" i="4"/>
  <c r="L17" i="4"/>
  <c r="K17" i="4"/>
  <c r="J17" i="4"/>
  <c r="G17" i="4"/>
  <c r="E17" i="4"/>
  <c r="D17" i="4"/>
  <c r="C17" i="4"/>
  <c r="H17" i="4" s="1"/>
  <c r="B17" i="4"/>
  <c r="A17" i="4"/>
  <c r="S16" i="4"/>
  <c r="L16" i="4"/>
  <c r="K16" i="4"/>
  <c r="J16" i="4"/>
  <c r="G16" i="4"/>
  <c r="E16" i="4"/>
  <c r="D16" i="4"/>
  <c r="C16" i="4"/>
  <c r="H16" i="4" s="1"/>
  <c r="B16" i="4"/>
  <c r="A16" i="4"/>
  <c r="S15" i="4"/>
  <c r="L15" i="4"/>
  <c r="K15" i="4"/>
  <c r="J15" i="4"/>
  <c r="G15" i="4"/>
  <c r="I15" i="4" s="1"/>
  <c r="F15" i="4"/>
  <c r="E15" i="4"/>
  <c r="D15" i="4"/>
  <c r="C15" i="4"/>
  <c r="H15" i="4" s="1"/>
  <c r="B15" i="4"/>
  <c r="A15" i="4"/>
  <c r="S14" i="4"/>
  <c r="L14" i="4"/>
  <c r="K14" i="4"/>
  <c r="J14" i="4"/>
  <c r="G14" i="4"/>
  <c r="I14" i="4" s="1"/>
  <c r="F14" i="4"/>
  <c r="E14" i="4"/>
  <c r="D14" i="4"/>
  <c r="C14" i="4"/>
  <c r="H14" i="4" s="1"/>
  <c r="B14" i="4"/>
  <c r="A14" i="4"/>
  <c r="S13" i="4"/>
  <c r="L13" i="4"/>
  <c r="K13" i="4"/>
  <c r="J13" i="4"/>
  <c r="G13" i="4"/>
  <c r="E13" i="4"/>
  <c r="D13" i="4"/>
  <c r="H13" i="4" s="1"/>
  <c r="C13" i="4"/>
  <c r="B13" i="4"/>
  <c r="A13" i="4"/>
  <c r="S12" i="4"/>
  <c r="L12" i="4"/>
  <c r="K12" i="4"/>
  <c r="J12" i="4"/>
  <c r="G12" i="4"/>
  <c r="F12" i="4"/>
  <c r="E12" i="4"/>
  <c r="H12" i="4" s="1"/>
  <c r="D12" i="4"/>
  <c r="C12" i="4"/>
  <c r="B12" i="4"/>
  <c r="A12" i="4"/>
  <c r="S11" i="4"/>
  <c r="L11" i="4"/>
  <c r="K11" i="4"/>
  <c r="J11" i="4"/>
  <c r="H11" i="4"/>
  <c r="G11" i="4"/>
  <c r="F11" i="4"/>
  <c r="E11" i="4"/>
  <c r="D11" i="4"/>
  <c r="C11" i="4"/>
  <c r="B11" i="4"/>
  <c r="A11" i="4"/>
  <c r="S10" i="4"/>
  <c r="L10" i="4"/>
  <c r="K10" i="4"/>
  <c r="J10" i="4"/>
  <c r="H10" i="4"/>
  <c r="G10" i="4"/>
  <c r="E10" i="4"/>
  <c r="D10" i="4"/>
  <c r="C10" i="4"/>
  <c r="B10" i="4"/>
  <c r="A10" i="4"/>
  <c r="S9" i="4"/>
  <c r="L9" i="4"/>
  <c r="K9" i="4"/>
  <c r="J9" i="4"/>
  <c r="H9" i="4"/>
  <c r="I9" i="4" s="1"/>
  <c r="G9" i="4"/>
  <c r="E9" i="4"/>
  <c r="D9" i="4"/>
  <c r="C9" i="4"/>
  <c r="B9" i="4"/>
  <c r="A9" i="4"/>
  <c r="S8" i="4"/>
  <c r="L8" i="4"/>
  <c r="K8" i="4"/>
  <c r="J8" i="4"/>
  <c r="G8" i="4"/>
  <c r="E8" i="4"/>
  <c r="D8" i="4"/>
  <c r="C8" i="4"/>
  <c r="H8" i="4" s="1"/>
  <c r="I8" i="4" s="1"/>
  <c r="B8" i="4"/>
  <c r="A8" i="4"/>
  <c r="S7" i="4"/>
  <c r="L7" i="4"/>
  <c r="K7" i="4"/>
  <c r="J7" i="4"/>
  <c r="G7" i="4"/>
  <c r="E7" i="4"/>
  <c r="D7" i="4"/>
  <c r="C7" i="4"/>
  <c r="H7" i="4" s="1"/>
  <c r="B7" i="4"/>
  <c r="A7" i="4"/>
  <c r="S6" i="4"/>
  <c r="L6" i="4"/>
  <c r="K6" i="4"/>
  <c r="J6" i="4"/>
  <c r="G6" i="4"/>
  <c r="E6" i="4"/>
  <c r="D6" i="4"/>
  <c r="C6" i="4"/>
  <c r="H6" i="4" s="1"/>
  <c r="B6" i="4"/>
  <c r="A6" i="4"/>
  <c r="S5" i="4"/>
  <c r="L5" i="4"/>
  <c r="K5" i="4"/>
  <c r="J5" i="4"/>
  <c r="G5" i="4"/>
  <c r="I5" i="4" s="1"/>
  <c r="E5" i="4"/>
  <c r="D5" i="4"/>
  <c r="C5" i="4"/>
  <c r="H5" i="4" s="1"/>
  <c r="B5" i="4"/>
  <c r="A5" i="4"/>
  <c r="S4" i="4"/>
  <c r="B8" i="5" s="1"/>
  <c r="L4" i="4"/>
  <c r="K4" i="4"/>
  <c r="J4" i="4"/>
  <c r="G4" i="4"/>
  <c r="E4" i="4"/>
  <c r="D4" i="4"/>
  <c r="C4" i="4"/>
  <c r="H4" i="4" s="1"/>
  <c r="B4" i="4"/>
  <c r="A4" i="4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O69" i="1"/>
  <c r="N69" i="1"/>
  <c r="M69" i="1"/>
  <c r="F69" i="1"/>
  <c r="O68" i="1"/>
  <c r="N68" i="1"/>
  <c r="M68" i="1"/>
  <c r="F68" i="1"/>
  <c r="F62" i="4" s="1"/>
  <c r="O67" i="1"/>
  <c r="N67" i="1"/>
  <c r="M67" i="1"/>
  <c r="F67" i="1"/>
  <c r="F61" i="4" s="1"/>
  <c r="O66" i="1"/>
  <c r="N66" i="1"/>
  <c r="M66" i="1"/>
  <c r="F66" i="1"/>
  <c r="F60" i="4" s="1"/>
  <c r="O65" i="1"/>
  <c r="N65" i="1"/>
  <c r="M65" i="1"/>
  <c r="F65" i="1"/>
  <c r="F59" i="4" s="1"/>
  <c r="O64" i="1"/>
  <c r="N64" i="1"/>
  <c r="M64" i="1"/>
  <c r="F64" i="1"/>
  <c r="F58" i="4" s="1"/>
  <c r="O63" i="1"/>
  <c r="N63" i="1"/>
  <c r="M63" i="1"/>
  <c r="F63" i="1"/>
  <c r="F57" i="4" s="1"/>
  <c r="O62" i="1"/>
  <c r="N62" i="1"/>
  <c r="M62" i="1"/>
  <c r="F62" i="1"/>
  <c r="F56" i="4" s="1"/>
  <c r="O61" i="1"/>
  <c r="N61" i="1"/>
  <c r="M61" i="1"/>
  <c r="F61" i="1"/>
  <c r="F55" i="4" s="1"/>
  <c r="O60" i="1"/>
  <c r="N60" i="1"/>
  <c r="M60" i="1"/>
  <c r="F60" i="1"/>
  <c r="F54" i="4" s="1"/>
  <c r="O59" i="1"/>
  <c r="N59" i="1"/>
  <c r="M59" i="1"/>
  <c r="F59" i="1"/>
  <c r="F53" i="4" s="1"/>
  <c r="O58" i="1"/>
  <c r="N58" i="1"/>
  <c r="M58" i="1"/>
  <c r="F58" i="1"/>
  <c r="F52" i="4" s="1"/>
  <c r="O57" i="1"/>
  <c r="N57" i="1"/>
  <c r="M57" i="1"/>
  <c r="F57" i="1"/>
  <c r="O56" i="1"/>
  <c r="N56" i="1"/>
  <c r="M56" i="1"/>
  <c r="F56" i="1"/>
  <c r="O55" i="1"/>
  <c r="N55" i="1"/>
  <c r="M55" i="1"/>
  <c r="F55" i="1"/>
  <c r="F49" i="4" s="1"/>
  <c r="O54" i="1"/>
  <c r="N54" i="1"/>
  <c r="M54" i="1"/>
  <c r="F54" i="1"/>
  <c r="O53" i="1"/>
  <c r="N53" i="1"/>
  <c r="M53" i="1"/>
  <c r="F53" i="1"/>
  <c r="O52" i="1"/>
  <c r="N52" i="1"/>
  <c r="M52" i="1"/>
  <c r="F52" i="1"/>
  <c r="F46" i="4" s="1"/>
  <c r="O51" i="1"/>
  <c r="N51" i="1"/>
  <c r="M51" i="1"/>
  <c r="F51" i="1"/>
  <c r="F45" i="4" s="1"/>
  <c r="O50" i="1"/>
  <c r="N50" i="1"/>
  <c r="M50" i="1"/>
  <c r="F50" i="1"/>
  <c r="F44" i="4" s="1"/>
  <c r="O49" i="1"/>
  <c r="N49" i="1"/>
  <c r="M49" i="1"/>
  <c r="F49" i="1"/>
  <c r="F43" i="4" s="1"/>
  <c r="O48" i="1"/>
  <c r="N48" i="1"/>
  <c r="M48" i="1"/>
  <c r="F48" i="1"/>
  <c r="F42" i="4" s="1"/>
  <c r="O47" i="1"/>
  <c r="N47" i="1"/>
  <c r="M47" i="1"/>
  <c r="F47" i="1"/>
  <c r="F41" i="4" s="1"/>
  <c r="O46" i="1"/>
  <c r="N46" i="1"/>
  <c r="M46" i="1"/>
  <c r="F46" i="1"/>
  <c r="F40" i="4" s="1"/>
  <c r="O45" i="1"/>
  <c r="N45" i="1"/>
  <c r="M45" i="1"/>
  <c r="F45" i="1"/>
  <c r="O44" i="1"/>
  <c r="N44" i="1"/>
  <c r="M44" i="1"/>
  <c r="F44" i="1"/>
  <c r="O43" i="1"/>
  <c r="N43" i="1"/>
  <c r="M43" i="1"/>
  <c r="F43" i="1"/>
  <c r="F37" i="4" s="1"/>
  <c r="O42" i="1"/>
  <c r="N42" i="1"/>
  <c r="M42" i="1"/>
  <c r="F42" i="1"/>
  <c r="O41" i="1"/>
  <c r="N41" i="1"/>
  <c r="M41" i="1"/>
  <c r="F41" i="1"/>
  <c r="O40" i="1"/>
  <c r="N40" i="1"/>
  <c r="M40" i="1"/>
  <c r="F40" i="1"/>
  <c r="F34" i="4" s="1"/>
  <c r="O39" i="1"/>
  <c r="N39" i="1"/>
  <c r="M39" i="1"/>
  <c r="F39" i="1"/>
  <c r="F33" i="4" s="1"/>
  <c r="O38" i="1"/>
  <c r="N38" i="1"/>
  <c r="M38" i="1"/>
  <c r="F38" i="1"/>
  <c r="F32" i="4" s="1"/>
  <c r="O37" i="1"/>
  <c r="N37" i="1"/>
  <c r="M37" i="1"/>
  <c r="F37" i="1"/>
  <c r="F31" i="4" s="1"/>
  <c r="O36" i="1"/>
  <c r="N36" i="1"/>
  <c r="M36" i="1"/>
  <c r="F36" i="1"/>
  <c r="F30" i="4" s="1"/>
  <c r="O35" i="1"/>
  <c r="N35" i="1"/>
  <c r="M35" i="1"/>
  <c r="F35" i="1"/>
  <c r="F29" i="4" s="1"/>
  <c r="O34" i="1"/>
  <c r="N34" i="1"/>
  <c r="M34" i="1"/>
  <c r="F34" i="1"/>
  <c r="F28" i="4" s="1"/>
  <c r="O33" i="1"/>
  <c r="N33" i="1"/>
  <c r="M33" i="1"/>
  <c r="F33" i="1"/>
  <c r="O32" i="1"/>
  <c r="N32" i="1"/>
  <c r="M32" i="1"/>
  <c r="F32" i="1"/>
  <c r="O31" i="1"/>
  <c r="N31" i="1"/>
  <c r="M31" i="1"/>
  <c r="F31" i="1"/>
  <c r="F25" i="4" s="1"/>
  <c r="O30" i="1"/>
  <c r="N30" i="1"/>
  <c r="M30" i="1"/>
  <c r="F30" i="1"/>
  <c r="O29" i="1"/>
  <c r="N29" i="1"/>
  <c r="M29" i="1"/>
  <c r="F29" i="1"/>
  <c r="O28" i="1"/>
  <c r="N28" i="1"/>
  <c r="M28" i="1"/>
  <c r="F28" i="1"/>
  <c r="F22" i="4" s="1"/>
  <c r="O27" i="1"/>
  <c r="N27" i="1"/>
  <c r="M27" i="1"/>
  <c r="F27" i="1"/>
  <c r="F21" i="4" s="1"/>
  <c r="O26" i="1"/>
  <c r="N26" i="1"/>
  <c r="M26" i="1"/>
  <c r="F26" i="1"/>
  <c r="F20" i="4" s="1"/>
  <c r="O25" i="1"/>
  <c r="N25" i="1"/>
  <c r="M25" i="1"/>
  <c r="F25" i="1"/>
  <c r="F19" i="4" s="1"/>
  <c r="O24" i="1"/>
  <c r="N24" i="1"/>
  <c r="M24" i="1"/>
  <c r="F24" i="1"/>
  <c r="F18" i="4" s="1"/>
  <c r="O23" i="1"/>
  <c r="N23" i="1"/>
  <c r="M23" i="1"/>
  <c r="F23" i="1"/>
  <c r="F17" i="4" s="1"/>
  <c r="O22" i="1"/>
  <c r="N22" i="1"/>
  <c r="M22" i="1"/>
  <c r="F22" i="1"/>
  <c r="F16" i="4" s="1"/>
  <c r="O21" i="1"/>
  <c r="N21" i="1"/>
  <c r="M21" i="1"/>
  <c r="F21" i="1"/>
  <c r="O20" i="1"/>
  <c r="N20" i="1"/>
  <c r="M20" i="1"/>
  <c r="F20" i="1"/>
  <c r="O19" i="1"/>
  <c r="N19" i="1"/>
  <c r="M19" i="1"/>
  <c r="F19" i="1"/>
  <c r="F13" i="4" s="1"/>
  <c r="O18" i="1"/>
  <c r="N18" i="1"/>
  <c r="M18" i="1"/>
  <c r="F18" i="1"/>
  <c r="O17" i="1"/>
  <c r="N17" i="1"/>
  <c r="M17" i="1"/>
  <c r="F17" i="1"/>
  <c r="O16" i="1"/>
  <c r="N16" i="1"/>
  <c r="M16" i="1"/>
  <c r="F16" i="1"/>
  <c r="F10" i="4" s="1"/>
  <c r="O15" i="1"/>
  <c r="N15" i="1"/>
  <c r="M15" i="1"/>
  <c r="F15" i="1"/>
  <c r="F9" i="4" s="1"/>
  <c r="O14" i="1"/>
  <c r="N14" i="1"/>
  <c r="M14" i="1"/>
  <c r="F14" i="1"/>
  <c r="F8" i="4" s="1"/>
  <c r="O13" i="1"/>
  <c r="N13" i="1"/>
  <c r="M13" i="1"/>
  <c r="F13" i="1"/>
  <c r="F7" i="4" s="1"/>
  <c r="O12" i="1"/>
  <c r="N12" i="1"/>
  <c r="M12" i="1"/>
  <c r="F12" i="1"/>
  <c r="F6" i="4" s="1"/>
  <c r="O11" i="1"/>
  <c r="N11" i="1"/>
  <c r="M11" i="1"/>
  <c r="F11" i="1"/>
  <c r="F5" i="4" s="1"/>
  <c r="O10" i="1"/>
  <c r="N10" i="1"/>
  <c r="M10" i="1"/>
  <c r="F10" i="1"/>
  <c r="F4" i="4" s="1"/>
  <c r="I13" i="4" l="1"/>
  <c r="I47" i="4"/>
  <c r="I38" i="4"/>
  <c r="I24" i="4"/>
  <c r="I10" i="4"/>
  <c r="I11" i="4"/>
  <c r="I19" i="4"/>
  <c r="I18" i="4"/>
  <c r="I22" i="4"/>
  <c r="I23" i="4"/>
  <c r="I4" i="4"/>
  <c r="I39" i="4"/>
  <c r="I48" i="4"/>
  <c r="I55" i="4"/>
  <c r="I28" i="4"/>
  <c r="I37" i="4"/>
  <c r="I63" i="4"/>
  <c r="I12" i="4"/>
  <c r="I27" i="4"/>
  <c r="I43" i="4"/>
  <c r="I62" i="4"/>
  <c r="I17" i="4"/>
  <c r="I26" i="4"/>
  <c r="I7" i="4"/>
  <c r="I25" i="4"/>
  <c r="I52" i="4"/>
  <c r="I16" i="4"/>
  <c r="I6" i="4"/>
  <c r="I31" i="4"/>
  <c r="I51" i="4"/>
  <c r="I49" i="4"/>
  <c r="B10" i="5" l="1"/>
</calcChain>
</file>

<file path=xl/sharedStrings.xml><?xml version="1.0" encoding="utf-8"?>
<sst xmlns="http://schemas.openxmlformats.org/spreadsheetml/2006/main" count="1200" uniqueCount="236">
  <si>
    <t>GSTR-3B INTEREST (LATE FILING) – INPUTS</t>
  </si>
  <si>
    <t>Assumptions:</t>
  </si>
  <si>
    <t>1) Payment date is assumed as GSTR-3B filing date (proxy).</t>
  </si>
  <si>
    <t>2) Interest computed on CASH paid portion (IGST/CGST/SGST) for belated return cases.</t>
  </si>
  <si>
    <t>3) Due dates &amp; relief rules are table-driven. Add/maintain CBIC overrides in masters for completeness.</t>
  </si>
  <si>
    <t>4) State Group is auto-derived from GSTIN; user override not required.</t>
  </si>
  <si>
    <t>Row</t>
  </si>
  <si>
    <t>GSTIN (User)</t>
  </si>
  <si>
    <t>Period Type (MONTH/QUARTER)</t>
  </si>
  <si>
    <t>Period Key (YYYY-MM or YYYY-Q1..Q4)</t>
  </si>
  <si>
    <t>Filer Type (MONTHLY/QRMP)</t>
  </si>
  <si>
    <t>State Group (A=22nd / B=24th / NA)</t>
  </si>
  <si>
    <t>Turnover Class (LE_5CR/GT_5CR/ANY)</t>
  </si>
  <si>
    <t>Filing Date (DD-MM-YYYY)</t>
  </si>
  <si>
    <t>Cash Paid IGST</t>
  </si>
  <si>
    <t>Cash Paid CGST</t>
  </si>
  <si>
    <t>Cash Paid SGST</t>
  </si>
  <si>
    <t>Notes (optional)</t>
  </si>
  <si>
    <t>Derived Period Start Date</t>
  </si>
  <si>
    <t>Derived Quarter End Date</t>
  </si>
  <si>
    <t>Validate Inputs</t>
  </si>
  <si>
    <t>DUE DATE MASTER (Effective Due Dates after CBIC extensions/notifications)</t>
  </si>
  <si>
    <t>How to use:</t>
  </si>
  <si>
    <t>Add period-specific override rows below whenever CBIC extends the due date for that period.</t>
  </si>
  <si>
    <t>If no override exists, CALC uses default due date: Monthly=20th next month; QRMP=22nd/24th next month after quarter.</t>
  </si>
  <si>
    <t>Period Type</t>
  </si>
  <si>
    <t>Period Key</t>
  </si>
  <si>
    <t>Filer Type</t>
  </si>
  <si>
    <t>State Group</t>
  </si>
  <si>
    <t>Effective Due Date</t>
  </si>
  <si>
    <t>Priority</t>
  </si>
  <si>
    <t>CBIC Reference</t>
  </si>
  <si>
    <t>Remarks</t>
  </si>
  <si>
    <t>Key (helper)</t>
  </si>
  <si>
    <t>MONTH</t>
  </si>
  <si>
    <t>2017-07</t>
  </si>
  <si>
    <t>MONTHLY</t>
  </si>
  <si>
    <t>NA</t>
  </si>
  <si>
    <t>Default Rule (Sec 39)</t>
  </si>
  <si>
    <t>Standard monthly due date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</si>
  <si>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</si>
  <si>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</si>
  <si>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</si>
  <si>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</si>
  <si>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</si>
  <si>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</si>
  <si>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</si>
  <si>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</si>
  <si>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</si>
  <si>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</si>
  <si>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</si>
  <si>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</si>
  <si>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</si>
  <si>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</si>
  <si>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</si>
  <si>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</si>
  <si>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</si>
  <si>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</si>
  <si>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</si>
  <si>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</si>
  <si>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</si>
  <si>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</si>
  <si>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</si>
  <si>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</si>
  <si>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</si>
  <si>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</si>
  <si>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</si>
  <si>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</si>
  <si>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</si>
  <si>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</si>
  <si>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</si>
  <si>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</si>
  <si>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</si>
  <si>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</si>
  <si>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</si>
  <si>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</si>
  <si>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</si>
  <si>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</si>
  <si>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</si>
  <si>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</si>
  <si>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</si>
  <si>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</si>
  <si>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</si>
  <si>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</si>
  <si>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</si>
  <si>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</si>
  <si>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</si>
  <si>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</si>
  <si>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</si>
  <si>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</si>
  <si>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</si>
  <si>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</si>
  <si>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</si>
  <si>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</si>
  <si>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</si>
  <si>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</si>
  <si>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</si>
  <si>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</si>
  <si>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</si>
  <si>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</si>
  <si>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</si>
  <si>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</si>
  <si>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</si>
  <si>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</si>
  <si>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</si>
  <si>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</si>
  <si>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</si>
  <si>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</si>
  <si>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</si>
  <si>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</si>
  <si>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</si>
  <si>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</si>
  <si>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</si>
  <si>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</si>
  <si>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</si>
  <si>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</si>
  <si>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</si>
  <si>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</si>
  <si>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</si>
  <si>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</si>
  <si>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</si>
  <si>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</si>
  <si>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</si>
  <si>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</si>
  <si>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</si>
  <si>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</si>
  <si>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</si>
  <si>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</si>
  <si>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</si>
  <si>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</si>
  <si>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</si>
  <si>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</si>
  <si>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</si>
  <si>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</si>
  <si>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</si>
  <si>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</si>
  <si>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</si>
  <si>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</si>
  <si>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</si>
  <si>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</si>
  <si>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</si>
  <si>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QUARTER</t>
  </si>
  <si>
    <t>2017-Q1</t>
  </si>
  <si>
    <t>QRMP</t>
  </si>
  <si>
    <t>A</t>
  </si>
  <si>
    <t>QRMP Default</t>
  </si>
  <si>
    <t>State Group A</t>
  </si>
  <si>
    <t>B</t>
  </si>
  <si>
    <t>State Group B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</si>
  <si>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</si>
  <si>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</si>
  <si>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</si>
  <si>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</si>
  <si>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</si>
  <si>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</si>
  <si>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</si>
  <si>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</si>
  <si>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</si>
  <si>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</si>
  <si>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</si>
  <si>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</si>
  <si>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</si>
  <si>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</si>
  <si>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</si>
  <si>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</si>
  <si>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</si>
  <si>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</si>
  <si>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</si>
  <si>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</si>
  <si>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</si>
  <si>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</si>
  <si>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</si>
  <si>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</si>
  <si>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</si>
  <si>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</si>
  <si>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</si>
  <si>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</si>
  <si>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</si>
  <si>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</si>
  <si>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</si>
  <si>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</si>
  <si>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</si>
  <si>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</si>
  <si>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</si>
  <si>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Notif 31/2020</t>
  </si>
  <si>
    <t>COVID extension</t>
  </si>
  <si>
    <t>Notif 18/2021</t>
  </si>
  <si>
    <t>COVID second wave</t>
  </si>
  <si>
    <t>INTEREST RELIEF RULES (Reduced / Nil interest slabs as per CBIC notifications/circulars)</t>
  </si>
  <si>
    <t>Rule matching:</t>
  </si>
  <si>
    <t>Engine picks first matching rule by lowest Priority. If no rule matches, default 18% p.a. applies.</t>
  </si>
  <si>
    <t>If Eligibility Cutoff is set and Filing Date is after it, the rule is ignored (default 18% applies).</t>
  </si>
  <si>
    <t>From Period Key</t>
  </si>
  <si>
    <t>To Period Key</t>
  </si>
  <si>
    <t>Filer Type (MONTHLY/QRMP/ANY)</t>
  </si>
  <si>
    <t>Eligibility Cutoff Filing Date (optional)</t>
  </si>
  <si>
    <t>Slab1 Days</t>
  </si>
  <si>
    <t>Slab1 Rate p.a.</t>
  </si>
  <si>
    <t>Slab2 Days</t>
  </si>
  <si>
    <t>Slab2 Rate p.a.</t>
  </si>
  <si>
    <t>Slab3 Rate p.a. (remaining)</t>
  </si>
  <si>
    <t>Notes</t>
  </si>
  <si>
    <t>GT_5CR</t>
  </si>
  <si>
    <t>2020-06-24</t>
  </si>
  <si>
    <t>Notif 31/2020 &amp; Circular 136/06/2020</t>
  </si>
  <si>
    <t>Nil 15 days then 9% thereafter if filed by cutoff; else 18%</t>
  </si>
  <si>
    <t>LE_5CR</t>
  </si>
  <si>
    <t>Notif 18/2021-Central Tax</t>
  </si>
  <si>
    <t>Typical slab; verify exact days per notification table</t>
  </si>
  <si>
    <t>ANY</t>
  </si>
  <si>
    <t>Quarter ending Mar-2021 relief; verify exact applicability</t>
  </si>
  <si>
    <t>CALCULATION (Interest on late filing of GSTR-3B – head-wise)</t>
  </si>
  <si>
    <t>Turnover Class</t>
  </si>
  <si>
    <t>Filing Date</t>
  </si>
  <si>
    <t>Due Date (Effective)</t>
  </si>
  <si>
    <t>Delay Days</t>
  </si>
  <si>
    <t>Cash IGST</t>
  </si>
  <si>
    <t>Cash CGST</t>
  </si>
  <si>
    <t>Cash SGST</t>
  </si>
  <si>
    <t>Rule Applied (Ref)</t>
  </si>
  <si>
    <t>Slab1 Days Used</t>
  </si>
  <si>
    <t>Slab2 Days Used</t>
  </si>
  <si>
    <t>IGST Interest</t>
  </si>
  <si>
    <t>CGST Interest</t>
  </si>
  <si>
    <t>SGST Interest</t>
  </si>
  <si>
    <t>Total Interest</t>
  </si>
  <si>
    <t>SUMMARY OUTPUT</t>
  </si>
  <si>
    <t>Totals (all rows in INPUT):</t>
  </si>
  <si>
    <t>Total IGST Interest</t>
  </si>
  <si>
    <t>Total CGST Interest</t>
  </si>
  <si>
    <t>Total SGST Interest</t>
  </si>
  <si>
    <t>Periods late (count)</t>
  </si>
  <si>
    <t>Advisory:</t>
  </si>
  <si>
    <t>• Interest computed on cash-paid IGST/CGST/SGST with filing date as payment proxy.</t>
  </si>
  <si>
    <t>• Maintain DUE_DATE_MASTER and INTEREST_RELIEF_RULES to cover all CBIC extensions/reliefs for Jul-2017 to Dec-2025.</t>
  </si>
  <si>
    <t>• Late fee waivers do not automatically waive interest unless explicitly notified.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</si>
</sst>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"/>
  <sheetViews>
    <sheetView topLeftCell="E1" workbookViewId="0">
      <pane ySplit="9" topLeftCell="A10" activePane="bottomLeft" state="frozen"/>
      <selection pane="bottomLeft" activeCell="O10" sqref="O10"/>
    </sheetView>
  </sheetViews>
  <sheetFormatPr defaultRowHeight="14.4" x14ac:dyDescent="0.55000000000000004"/>
  <cols>
    <col min="1" max="1" width="6" customWidth="1"/>
    <col min="2" max="2" width="20" customWidth="1"/>
    <col min="3" max="3" width="22" customWidth="1"/>
    <col min="4" max="4" width="18" customWidth="1"/>
    <col min="5" max="6" width="22" customWidth="1"/>
    <col min="7" max="7" width="18" customWidth="1"/>
    <col min="8" max="10" width="14" customWidth="1"/>
    <col min="11" max="11" width="22" customWidth="1"/>
    <col min="12" max="13" width="20" customWidth="1"/>
    <col min="14" max="14" width="18" customWidth="1"/>
  </cols>
  <sheetData>
    <row r="1" spans="1:15" x14ac:dyDescent="0.5500000000000000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5" x14ac:dyDescent="0.55000000000000004">
      <c r="A3" s="1" t="s">
        <v>1</v>
      </c>
    </row>
    <row r="4" spans="1:15" x14ac:dyDescent="0.55000000000000004">
      <c r="A4" t="s">
        <v>2</v>
      </c>
    </row>
    <row r="5" spans="1:15" x14ac:dyDescent="0.55000000000000004">
      <c r="A5" t="s">
        <v>3</v>
      </c>
    </row>
    <row r="6" spans="1:15" x14ac:dyDescent="0.55000000000000004">
      <c r="A6" t="s">
        <v>4</v>
      </c>
    </row>
    <row r="7" spans="1:15" x14ac:dyDescent="0.55000000000000004">
      <c r="A7" t="s">
        <v>5</v>
      </c>
    </row>
    <row r="9" spans="1:15" ht="43.2" x14ac:dyDescent="0.55000000000000004">
      <c r="A9" s="2" t="s">
        <v>6</v>
      </c>
      <c r="B9" s="1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 t="s">
        <v>19</v>
      </c>
      <c r="O9" s="2" t="s">
        <v>20</v>
      </c>
    </row>
    <row r="10" spans="1:15" x14ac:dyDescent="0.55000000000000004">
      <c r="A10" s="3">
        <v>1</v>
      </c>
      <c r="C10" s="3"/>
      <c r="D10" s="3"/>
      <c r="E10" s="3"/>
      <c r="F10" s="3" t="str">
        <f t="shared" ref="F10:F41" si="0">IF(B10="","NA",IF(OR(LEFT(B10,2)="35",LEFT(B10,2)="26",LEFT(B10,2)="25",LEFT(B10,2)="31",LEFT(B10,2)="34"),"A","B"))</f>
        <v>NA</v>
      </c>
      <c r="G10" s="3"/>
      <c r="H10" s="3"/>
      <c r="I10" s="3"/>
      <c r="J10" s="3"/>
      <c r="K10" s="3"/>
      <c r="L10" s="3"/>
      <c r="M10" s="3" t="str">
        <f t="shared" ref="M10:M41" si="1">IF(C10="","",IF(B10="MONTH",DATE(VALUE(LEFT(C10,4)),VALUE(MID(C10,6,2)),1),IF(B10="QUARTER",CHOOSE(VALUE(RIGHT(C10,1)),DATE(VALUE(LEFT(C10,4)),4,1),DATE(VALUE(LEFT(C10,4)),7,1),DATE(VALUE(LEFT(C10,4)),10,1),DATE(VALUE(LEFT(C10,4)),1,1)),"")))</f>
        <v/>
      </c>
      <c r="N10" s="3" t="str">
        <f t="shared" ref="N10:N41" si="2">IF(C10="","",IF(B10&lt;&gt;"QUARTER","",CHOOSE(VALUE(RIGHT(C10,1)),DATE(VALUE(LEFT(C10,4)),6,30),DATE(VALUE(LEFT(C10,4)),9,30),DATE(VALUE(LEFT(C10,4)),12,31),DATE(VALUE(LEFT(C10,4))+1,3,31))))</f>
        <v/>
      </c>
      <c r="O10" s="3" t="str">
        <f t="shared" ref="O10:O41" si="3">IF(C10="","",IF(OR(G10="",D10=""),"MISSING: Filing Date or Filer Type",IF(AND(B10="MONTH",LEN(C10)&lt;&gt;7),"BAD Period Key (YYYY-MM)",IF(AND(B10="QUARTER",LEN(C10)&lt;&gt;7),"BAD Period Key (YYYY-Q#)","OK"))))</f>
        <v/>
      </c>
    </row>
    <row r="11" spans="1:15" x14ac:dyDescent="0.55000000000000004">
      <c r="A11" s="3">
        <v>2</v>
      </c>
      <c r="C11" s="3"/>
      <c r="D11" s="3"/>
      <c r="E11" s="3"/>
      <c r="F11" s="3" t="str">
        <f t="shared" si="0"/>
        <v>NA</v>
      </c>
      <c r="G11" s="3"/>
      <c r="H11" s="3"/>
      <c r="I11" s="3"/>
      <c r="J11" s="3"/>
      <c r="K11" s="3"/>
      <c r="L11" s="3"/>
      <c r="M11" s="3" t="str">
        <f t="shared" si="1"/>
        <v/>
      </c>
      <c r="N11" s="3" t="str">
        <f t="shared" si="2"/>
        <v/>
      </c>
      <c r="O11" s="3" t="str">
        <f t="shared" si="3"/>
        <v/>
      </c>
    </row>
    <row r="12" spans="1:15" x14ac:dyDescent="0.55000000000000004">
      <c r="A12" s="3">
        <v>3</v>
      </c>
      <c r="C12" s="3"/>
      <c r="D12" s="3"/>
      <c r="E12" s="3"/>
      <c r="F12" s="3" t="str">
        <f t="shared" si="0"/>
        <v>NA</v>
      </c>
      <c r="G12" s="3"/>
      <c r="H12" s="3"/>
      <c r="I12" s="3"/>
      <c r="J12" s="3"/>
      <c r="K12" s="3"/>
      <c r="L12" s="3"/>
      <c r="M12" s="3" t="str">
        <f t="shared" si="1"/>
        <v/>
      </c>
      <c r="N12" s="3" t="str">
        <f t="shared" si="2"/>
        <v/>
      </c>
      <c r="O12" s="3" t="str">
        <f t="shared" si="3"/>
        <v/>
      </c>
    </row>
    <row r="13" spans="1:15" x14ac:dyDescent="0.55000000000000004">
      <c r="A13" s="3">
        <v>4</v>
      </c>
      <c r="C13" s="3"/>
      <c r="D13" s="3"/>
      <c r="E13" s="3"/>
      <c r="F13" s="3" t="str">
        <f t="shared" si="0"/>
        <v>NA</v>
      </c>
      <c r="G13" s="3"/>
      <c r="H13" s="3"/>
      <c r="I13" s="3"/>
      <c r="J13" s="3"/>
      <c r="K13" s="3"/>
      <c r="L13" s="3"/>
      <c r="M13" s="3" t="str">
        <f t="shared" si="1"/>
        <v/>
      </c>
      <c r="N13" s="3" t="str">
        <f t="shared" si="2"/>
        <v/>
      </c>
      <c r="O13" s="3" t="str">
        <f t="shared" si="3"/>
        <v/>
      </c>
    </row>
    <row r="14" spans="1:15" x14ac:dyDescent="0.55000000000000004">
      <c r="A14" s="3">
        <v>5</v>
      </c>
      <c r="C14" s="3"/>
      <c r="D14" s="3"/>
      <c r="E14" s="3"/>
      <c r="F14" s="3" t="str">
        <f t="shared" si="0"/>
        <v>NA</v>
      </c>
      <c r="G14" s="3"/>
      <c r="H14" s="3"/>
      <c r="I14" s="3"/>
      <c r="J14" s="3"/>
      <c r="K14" s="3"/>
      <c r="L14" s="3"/>
      <c r="M14" s="3" t="str">
        <f t="shared" si="1"/>
        <v/>
      </c>
      <c r="N14" s="3" t="str">
        <f t="shared" si="2"/>
        <v/>
      </c>
      <c r="O14" s="3" t="str">
        <f t="shared" si="3"/>
        <v/>
      </c>
    </row>
    <row r="15" spans="1:15" x14ac:dyDescent="0.55000000000000004">
      <c r="A15" s="3">
        <v>6</v>
      </c>
      <c r="C15" s="3"/>
      <c r="D15" s="3"/>
      <c r="E15" s="3"/>
      <c r="F15" s="3" t="str">
        <f t="shared" si="0"/>
        <v>NA</v>
      </c>
      <c r="G15" s="3"/>
      <c r="H15" s="3"/>
      <c r="I15" s="3"/>
      <c r="J15" s="3"/>
      <c r="K15" s="3"/>
      <c r="L15" s="3"/>
      <c r="M15" s="3" t="str">
        <f t="shared" si="1"/>
        <v/>
      </c>
      <c r="N15" s="3" t="str">
        <f t="shared" si="2"/>
        <v/>
      </c>
      <c r="O15" s="3" t="str">
        <f t="shared" si="3"/>
        <v/>
      </c>
    </row>
    <row r="16" spans="1:15" x14ac:dyDescent="0.55000000000000004">
      <c r="A16" s="3">
        <v>7</v>
      </c>
      <c r="C16" s="3"/>
      <c r="D16" s="3"/>
      <c r="E16" s="3"/>
      <c r="F16" s="3" t="str">
        <f t="shared" si="0"/>
        <v>NA</v>
      </c>
      <c r="G16" s="3"/>
      <c r="H16" s="3"/>
      <c r="I16" s="3"/>
      <c r="J16" s="3"/>
      <c r="K16" s="3"/>
      <c r="L16" s="3"/>
      <c r="M16" s="3" t="str">
        <f t="shared" si="1"/>
        <v/>
      </c>
      <c r="N16" s="3" t="str">
        <f t="shared" si="2"/>
        <v/>
      </c>
      <c r="O16" s="3" t="str">
        <f t="shared" si="3"/>
        <v/>
      </c>
    </row>
    <row r="17" spans="1:15" x14ac:dyDescent="0.55000000000000004">
      <c r="A17" s="3">
        <v>8</v>
      </c>
      <c r="C17" s="3"/>
      <c r="D17" s="3"/>
      <c r="E17" s="3"/>
      <c r="F17" s="3" t="str">
        <f t="shared" si="0"/>
        <v>NA</v>
      </c>
      <c r="G17" s="3"/>
      <c r="H17" s="3"/>
      <c r="I17" s="3"/>
      <c r="J17" s="3"/>
      <c r="K17" s="3"/>
      <c r="L17" s="3"/>
      <c r="M17" s="3" t="str">
        <f t="shared" si="1"/>
        <v/>
      </c>
      <c r="N17" s="3" t="str">
        <f t="shared" si="2"/>
        <v/>
      </c>
      <c r="O17" s="3" t="str">
        <f t="shared" si="3"/>
        <v/>
      </c>
    </row>
    <row r="18" spans="1:15" x14ac:dyDescent="0.55000000000000004">
      <c r="A18" s="3">
        <v>9</v>
      </c>
      <c r="C18" s="3"/>
      <c r="D18" s="3"/>
      <c r="E18" s="3"/>
      <c r="F18" s="3" t="str">
        <f t="shared" si="0"/>
        <v>NA</v>
      </c>
      <c r="G18" s="3"/>
      <c r="H18" s="3"/>
      <c r="I18" s="3"/>
      <c r="J18" s="3"/>
      <c r="K18" s="3"/>
      <c r="L18" s="3"/>
      <c r="M18" s="3" t="str">
        <f t="shared" si="1"/>
        <v/>
      </c>
      <c r="N18" s="3" t="str">
        <f t="shared" si="2"/>
        <v/>
      </c>
      <c r="O18" s="3" t="str">
        <f t="shared" si="3"/>
        <v/>
      </c>
    </row>
    <row r="19" spans="1:15" x14ac:dyDescent="0.55000000000000004">
      <c r="A19" s="3">
        <v>10</v>
      </c>
      <c r="C19" s="3"/>
      <c r="D19" s="3"/>
      <c r="E19" s="3"/>
      <c r="F19" s="3" t="str">
        <f t="shared" si="0"/>
        <v>NA</v>
      </c>
      <c r="G19" s="3"/>
      <c r="H19" s="3"/>
      <c r="I19" s="3"/>
      <c r="J19" s="3"/>
      <c r="K19" s="3"/>
      <c r="L19" s="3"/>
      <c r="M19" s="3" t="str">
        <f t="shared" si="1"/>
        <v/>
      </c>
      <c r="N19" s="3" t="str">
        <f t="shared" si="2"/>
        <v/>
      </c>
      <c r="O19" s="3" t="str">
        <f t="shared" si="3"/>
        <v/>
      </c>
    </row>
    <row r="20" spans="1:15" x14ac:dyDescent="0.55000000000000004">
      <c r="A20" s="3">
        <v>11</v>
      </c>
      <c r="C20" s="3"/>
      <c r="D20" s="3"/>
      <c r="E20" s="3"/>
      <c r="F20" s="3" t="str">
        <f t="shared" si="0"/>
        <v>NA</v>
      </c>
      <c r="G20" s="3"/>
      <c r="H20" s="3"/>
      <c r="I20" s="3"/>
      <c r="J20" s="3"/>
      <c r="K20" s="3"/>
      <c r="L20" s="3"/>
      <c r="M20" s="3" t="str">
        <f t="shared" si="1"/>
        <v/>
      </c>
      <c r="N20" s="3" t="str">
        <f t="shared" si="2"/>
        <v/>
      </c>
      <c r="O20" s="3" t="str">
        <f t="shared" si="3"/>
        <v/>
      </c>
    </row>
    <row r="21" spans="1:15" x14ac:dyDescent="0.55000000000000004">
      <c r="A21" s="3">
        <v>12</v>
      </c>
      <c r="C21" s="3"/>
      <c r="D21" s="3"/>
      <c r="E21" s="3"/>
      <c r="F21" s="3" t="str">
        <f t="shared" si="0"/>
        <v>NA</v>
      </c>
      <c r="G21" s="3"/>
      <c r="H21" s="3"/>
      <c r="I21" s="3"/>
      <c r="J21" s="3"/>
      <c r="K21" s="3"/>
      <c r="L21" s="3"/>
      <c r="M21" s="3" t="str">
        <f t="shared" si="1"/>
        <v/>
      </c>
      <c r="N21" s="3" t="str">
        <f t="shared" si="2"/>
        <v/>
      </c>
      <c r="O21" s="3" t="str">
        <f t="shared" si="3"/>
        <v/>
      </c>
    </row>
    <row r="22" spans="1:15" x14ac:dyDescent="0.55000000000000004">
      <c r="A22" s="3">
        <v>13</v>
      </c>
      <c r="C22" s="3"/>
      <c r="D22" s="3"/>
      <c r="E22" s="3"/>
      <c r="F22" s="3" t="str">
        <f t="shared" si="0"/>
        <v>NA</v>
      </c>
      <c r="G22" s="3"/>
      <c r="H22" s="3"/>
      <c r="I22" s="3"/>
      <c r="J22" s="3"/>
      <c r="K22" s="3"/>
      <c r="L22" s="3"/>
      <c r="M22" s="3" t="str">
        <f t="shared" si="1"/>
        <v/>
      </c>
      <c r="N22" s="3" t="str">
        <f t="shared" si="2"/>
        <v/>
      </c>
      <c r="O22" s="3" t="str">
        <f t="shared" si="3"/>
        <v/>
      </c>
    </row>
    <row r="23" spans="1:15" x14ac:dyDescent="0.55000000000000004">
      <c r="A23" s="3">
        <v>14</v>
      </c>
      <c r="C23" s="3"/>
      <c r="D23" s="3"/>
      <c r="E23" s="3"/>
      <c r="F23" s="3" t="str">
        <f t="shared" si="0"/>
        <v>NA</v>
      </c>
      <c r="G23" s="3"/>
      <c r="H23" s="3"/>
      <c r="I23" s="3"/>
      <c r="J23" s="3"/>
      <c r="K23" s="3"/>
      <c r="L23" s="3"/>
      <c r="M23" s="3" t="str">
        <f t="shared" si="1"/>
        <v/>
      </c>
      <c r="N23" s="3" t="str">
        <f t="shared" si="2"/>
        <v/>
      </c>
      <c r="O23" s="3" t="str">
        <f t="shared" si="3"/>
        <v/>
      </c>
    </row>
    <row r="24" spans="1:15" x14ac:dyDescent="0.55000000000000004">
      <c r="A24" s="3">
        <v>15</v>
      </c>
      <c r="C24" s="3"/>
      <c r="D24" s="3"/>
      <c r="E24" s="3"/>
      <c r="F24" s="3" t="str">
        <f t="shared" si="0"/>
        <v>NA</v>
      </c>
      <c r="G24" s="3"/>
      <c r="H24" s="3"/>
      <c r="I24" s="3"/>
      <c r="J24" s="3"/>
      <c r="K24" s="3"/>
      <c r="L24" s="3"/>
      <c r="M24" s="3" t="str">
        <f t="shared" si="1"/>
        <v/>
      </c>
      <c r="N24" s="3" t="str">
        <f t="shared" si="2"/>
        <v/>
      </c>
      <c r="O24" s="3" t="str">
        <f t="shared" si="3"/>
        <v/>
      </c>
    </row>
    <row r="25" spans="1:15" x14ac:dyDescent="0.55000000000000004">
      <c r="A25" s="3">
        <v>16</v>
      </c>
      <c r="C25" s="3"/>
      <c r="D25" s="3"/>
      <c r="E25" s="3"/>
      <c r="F25" s="3" t="str">
        <f t="shared" si="0"/>
        <v>NA</v>
      </c>
      <c r="G25" s="3"/>
      <c r="H25" s="3"/>
      <c r="I25" s="3"/>
      <c r="J25" s="3"/>
      <c r="K25" s="3"/>
      <c r="L25" s="3"/>
      <c r="M25" s="3" t="str">
        <f t="shared" si="1"/>
        <v/>
      </c>
      <c r="N25" s="3" t="str">
        <f t="shared" si="2"/>
        <v/>
      </c>
      <c r="O25" s="3" t="str">
        <f t="shared" si="3"/>
        <v/>
      </c>
    </row>
    <row r="26" spans="1:15" x14ac:dyDescent="0.55000000000000004">
      <c r="A26" s="3">
        <v>17</v>
      </c>
      <c r="C26" s="3"/>
      <c r="D26" s="3"/>
      <c r="E26" s="3"/>
      <c r="F26" s="3" t="str">
        <f t="shared" si="0"/>
        <v>NA</v>
      </c>
      <c r="G26" s="3"/>
      <c r="H26" s="3"/>
      <c r="I26" s="3"/>
      <c r="J26" s="3"/>
      <c r="K26" s="3"/>
      <c r="L26" s="3"/>
      <c r="M26" s="3" t="str">
        <f t="shared" si="1"/>
        <v/>
      </c>
      <c r="N26" s="3" t="str">
        <f t="shared" si="2"/>
        <v/>
      </c>
      <c r="O26" s="3" t="str">
        <f t="shared" si="3"/>
        <v/>
      </c>
    </row>
    <row r="27" spans="1:15" x14ac:dyDescent="0.55000000000000004">
      <c r="A27" s="3">
        <v>18</v>
      </c>
      <c r="C27" s="3"/>
      <c r="D27" s="3"/>
      <c r="E27" s="3"/>
      <c r="F27" s="3" t="str">
        <f t="shared" si="0"/>
        <v>NA</v>
      </c>
      <c r="G27" s="3"/>
      <c r="H27" s="3"/>
      <c r="I27" s="3"/>
      <c r="J27" s="3"/>
      <c r="K27" s="3"/>
      <c r="L27" s="3"/>
      <c r="M27" s="3" t="str">
        <f t="shared" si="1"/>
        <v/>
      </c>
      <c r="N27" s="3" t="str">
        <f t="shared" si="2"/>
        <v/>
      </c>
      <c r="O27" s="3" t="str">
        <f t="shared" si="3"/>
        <v/>
      </c>
    </row>
    <row r="28" spans="1:15" x14ac:dyDescent="0.55000000000000004">
      <c r="A28" s="3">
        <v>19</v>
      </c>
      <c r="C28" s="3"/>
      <c r="D28" s="3"/>
      <c r="E28" s="3"/>
      <c r="F28" s="3" t="str">
        <f t="shared" si="0"/>
        <v>NA</v>
      </c>
      <c r="G28" s="3"/>
      <c r="H28" s="3"/>
      <c r="I28" s="3"/>
      <c r="J28" s="3"/>
      <c r="K28" s="3"/>
      <c r="L28" s="3"/>
      <c r="M28" s="3" t="str">
        <f t="shared" si="1"/>
        <v/>
      </c>
      <c r="N28" s="3" t="str">
        <f t="shared" si="2"/>
        <v/>
      </c>
      <c r="O28" s="3" t="str">
        <f t="shared" si="3"/>
        <v/>
      </c>
    </row>
    <row r="29" spans="1:15" x14ac:dyDescent="0.55000000000000004">
      <c r="A29" s="3">
        <v>20</v>
      </c>
      <c r="C29" s="3"/>
      <c r="D29" s="3"/>
      <c r="E29" s="3"/>
      <c r="F29" s="3" t="str">
        <f t="shared" si="0"/>
        <v>NA</v>
      </c>
      <c r="G29" s="3"/>
      <c r="H29" s="3"/>
      <c r="I29" s="3"/>
      <c r="J29" s="3"/>
      <c r="K29" s="3"/>
      <c r="L29" s="3"/>
      <c r="M29" s="3" t="str">
        <f t="shared" si="1"/>
        <v/>
      </c>
      <c r="N29" s="3" t="str">
        <f t="shared" si="2"/>
        <v/>
      </c>
      <c r="O29" s="3" t="str">
        <f t="shared" si="3"/>
        <v/>
      </c>
    </row>
    <row r="30" spans="1:15" x14ac:dyDescent="0.55000000000000004">
      <c r="A30" s="3">
        <v>21</v>
      </c>
      <c r="C30" s="3"/>
      <c r="D30" s="3"/>
      <c r="E30" s="3"/>
      <c r="F30" s="3" t="str">
        <f t="shared" si="0"/>
        <v>NA</v>
      </c>
      <c r="G30" s="3"/>
      <c r="H30" s="3"/>
      <c r="I30" s="3"/>
      <c r="J30" s="3"/>
      <c r="K30" s="3"/>
      <c r="L30" s="3"/>
      <c r="M30" s="3" t="str">
        <f t="shared" si="1"/>
        <v/>
      </c>
      <c r="N30" s="3" t="str">
        <f t="shared" si="2"/>
        <v/>
      </c>
      <c r="O30" s="3" t="str">
        <f t="shared" si="3"/>
        <v/>
      </c>
    </row>
    <row r="31" spans="1:15" x14ac:dyDescent="0.55000000000000004">
      <c r="A31" s="3">
        <v>22</v>
      </c>
      <c r="C31" s="3"/>
      <c r="D31" s="3"/>
      <c r="E31" s="3"/>
      <c r="F31" s="3" t="str">
        <f t="shared" si="0"/>
        <v>NA</v>
      </c>
      <c r="G31" s="3"/>
      <c r="H31" s="3"/>
      <c r="I31" s="3"/>
      <c r="J31" s="3"/>
      <c r="K31" s="3"/>
      <c r="L31" s="3"/>
      <c r="M31" s="3" t="str">
        <f t="shared" si="1"/>
        <v/>
      </c>
      <c r="N31" s="3" t="str">
        <f t="shared" si="2"/>
        <v/>
      </c>
      <c r="O31" s="3" t="str">
        <f t="shared" si="3"/>
        <v/>
      </c>
    </row>
    <row r="32" spans="1:15" x14ac:dyDescent="0.55000000000000004">
      <c r="A32" s="3">
        <v>23</v>
      </c>
      <c r="C32" s="3"/>
      <c r="D32" s="3"/>
      <c r="E32" s="3"/>
      <c r="F32" s="3" t="str">
        <f t="shared" si="0"/>
        <v>NA</v>
      </c>
      <c r="G32" s="3"/>
      <c r="H32" s="3"/>
      <c r="I32" s="3"/>
      <c r="J32" s="3"/>
      <c r="K32" s="3"/>
      <c r="L32" s="3"/>
      <c r="M32" s="3" t="str">
        <f t="shared" si="1"/>
        <v/>
      </c>
      <c r="N32" s="3" t="str">
        <f t="shared" si="2"/>
        <v/>
      </c>
      <c r="O32" s="3" t="str">
        <f t="shared" si="3"/>
        <v/>
      </c>
    </row>
    <row r="33" spans="1:15" x14ac:dyDescent="0.55000000000000004">
      <c r="A33" s="3">
        <v>24</v>
      </c>
      <c r="C33" s="3"/>
      <c r="D33" s="3"/>
      <c r="E33" s="3"/>
      <c r="F33" s="3" t="str">
        <f t="shared" si="0"/>
        <v>NA</v>
      </c>
      <c r="G33" s="3"/>
      <c r="H33" s="3"/>
      <c r="I33" s="3"/>
      <c r="J33" s="3"/>
      <c r="K33" s="3"/>
      <c r="L33" s="3"/>
      <c r="M33" s="3" t="str">
        <f t="shared" si="1"/>
        <v/>
      </c>
      <c r="N33" s="3" t="str">
        <f t="shared" si="2"/>
        <v/>
      </c>
      <c r="O33" s="3" t="str">
        <f t="shared" si="3"/>
        <v/>
      </c>
    </row>
    <row r="34" spans="1:15" x14ac:dyDescent="0.55000000000000004">
      <c r="A34" s="3">
        <v>25</v>
      </c>
      <c r="C34" s="3"/>
      <c r="D34" s="3"/>
      <c r="E34" s="3"/>
      <c r="F34" s="3" t="str">
        <f t="shared" si="0"/>
        <v>NA</v>
      </c>
      <c r="G34" s="3"/>
      <c r="H34" s="3"/>
      <c r="I34" s="3"/>
      <c r="J34" s="3"/>
      <c r="K34" s="3"/>
      <c r="L34" s="3"/>
      <c r="M34" s="3" t="str">
        <f t="shared" si="1"/>
        <v/>
      </c>
      <c r="N34" s="3" t="str">
        <f t="shared" si="2"/>
        <v/>
      </c>
      <c r="O34" s="3" t="str">
        <f t="shared" si="3"/>
        <v/>
      </c>
    </row>
    <row r="35" spans="1:15" x14ac:dyDescent="0.55000000000000004">
      <c r="A35" s="3">
        <v>26</v>
      </c>
      <c r="C35" s="3"/>
      <c r="D35" s="3"/>
      <c r="E35" s="3"/>
      <c r="F35" s="3" t="str">
        <f t="shared" si="0"/>
        <v>NA</v>
      </c>
      <c r="G35" s="3"/>
      <c r="H35" s="3"/>
      <c r="I35" s="3"/>
      <c r="J35" s="3"/>
      <c r="K35" s="3"/>
      <c r="L35" s="3"/>
      <c r="M35" s="3" t="str">
        <f t="shared" si="1"/>
        <v/>
      </c>
      <c r="N35" s="3" t="str">
        <f t="shared" si="2"/>
        <v/>
      </c>
      <c r="O35" s="3" t="str">
        <f t="shared" si="3"/>
        <v/>
      </c>
    </row>
    <row r="36" spans="1:15" x14ac:dyDescent="0.55000000000000004">
      <c r="A36" s="3">
        <v>27</v>
      </c>
      <c r="C36" s="3"/>
      <c r="D36" s="3"/>
      <c r="E36" s="3"/>
      <c r="F36" s="3" t="str">
        <f t="shared" si="0"/>
        <v>NA</v>
      </c>
      <c r="G36" s="3"/>
      <c r="H36" s="3"/>
      <c r="I36" s="3"/>
      <c r="J36" s="3"/>
      <c r="K36" s="3"/>
      <c r="L36" s="3"/>
      <c r="M36" s="3" t="str">
        <f t="shared" si="1"/>
        <v/>
      </c>
      <c r="N36" s="3" t="str">
        <f t="shared" si="2"/>
        <v/>
      </c>
      <c r="O36" s="3" t="str">
        <f t="shared" si="3"/>
        <v/>
      </c>
    </row>
    <row r="37" spans="1:15" x14ac:dyDescent="0.55000000000000004">
      <c r="A37" s="3">
        <v>28</v>
      </c>
      <c r="C37" s="3"/>
      <c r="D37" s="3"/>
      <c r="E37" s="3"/>
      <c r="F37" s="3" t="str">
        <f t="shared" si="0"/>
        <v>NA</v>
      </c>
      <c r="G37" s="3"/>
      <c r="H37" s="3"/>
      <c r="I37" s="3"/>
      <c r="J37" s="3"/>
      <c r="K37" s="3"/>
      <c r="L37" s="3"/>
      <c r="M37" s="3" t="str">
        <f t="shared" si="1"/>
        <v/>
      </c>
      <c r="N37" s="3" t="str">
        <f t="shared" si="2"/>
        <v/>
      </c>
      <c r="O37" s="3" t="str">
        <f t="shared" si="3"/>
        <v/>
      </c>
    </row>
    <row r="38" spans="1:15" x14ac:dyDescent="0.55000000000000004">
      <c r="A38" s="3">
        <v>29</v>
      </c>
      <c r="C38" s="3"/>
      <c r="D38" s="3"/>
      <c r="E38" s="3"/>
      <c r="F38" s="3" t="str">
        <f t="shared" si="0"/>
        <v>NA</v>
      </c>
      <c r="G38" s="3"/>
      <c r="H38" s="3"/>
      <c r="I38" s="3"/>
      <c r="J38" s="3"/>
      <c r="K38" s="3"/>
      <c r="L38" s="3"/>
      <c r="M38" s="3" t="str">
        <f t="shared" si="1"/>
        <v/>
      </c>
      <c r="N38" s="3" t="str">
        <f t="shared" si="2"/>
        <v/>
      </c>
      <c r="O38" s="3" t="str">
        <f t="shared" si="3"/>
        <v/>
      </c>
    </row>
    <row r="39" spans="1:15" x14ac:dyDescent="0.55000000000000004">
      <c r="A39" s="3">
        <v>30</v>
      </c>
      <c r="C39" s="3"/>
      <c r="D39" s="3"/>
      <c r="E39" s="3"/>
      <c r="F39" s="3" t="str">
        <f t="shared" si="0"/>
        <v>NA</v>
      </c>
      <c r="G39" s="3"/>
      <c r="H39" s="3"/>
      <c r="I39" s="3"/>
      <c r="J39" s="3"/>
      <c r="K39" s="3"/>
      <c r="L39" s="3"/>
      <c r="M39" s="3" t="str">
        <f t="shared" si="1"/>
        <v/>
      </c>
      <c r="N39" s="3" t="str">
        <f t="shared" si="2"/>
        <v/>
      </c>
      <c r="O39" s="3" t="str">
        <f t="shared" si="3"/>
        <v/>
      </c>
    </row>
    <row r="40" spans="1:15" x14ac:dyDescent="0.55000000000000004">
      <c r="A40" s="3">
        <v>31</v>
      </c>
      <c r="C40" s="3"/>
      <c r="D40" s="3"/>
      <c r="E40" s="3"/>
      <c r="F40" s="3" t="str">
        <f t="shared" si="0"/>
        <v>NA</v>
      </c>
      <c r="G40" s="3"/>
      <c r="H40" s="3"/>
      <c r="I40" s="3"/>
      <c r="J40" s="3"/>
      <c r="K40" s="3"/>
      <c r="L40" s="3"/>
      <c r="M40" s="3" t="str">
        <f t="shared" si="1"/>
        <v/>
      </c>
      <c r="N40" s="3" t="str">
        <f t="shared" si="2"/>
        <v/>
      </c>
      <c r="O40" s="3" t="str">
        <f t="shared" si="3"/>
        <v/>
      </c>
    </row>
    <row r="41" spans="1:15" x14ac:dyDescent="0.55000000000000004">
      <c r="A41" s="3">
        <v>32</v>
      </c>
      <c r="C41" s="3"/>
      <c r="D41" s="3"/>
      <c r="E41" s="3"/>
      <c r="F41" s="3" t="str">
        <f t="shared" si="0"/>
        <v>NA</v>
      </c>
      <c r="G41" s="3"/>
      <c r="H41" s="3"/>
      <c r="I41" s="3"/>
      <c r="J41" s="3"/>
      <c r="K41" s="3"/>
      <c r="L41" s="3"/>
      <c r="M41" s="3" t="str">
        <f t="shared" si="1"/>
        <v/>
      </c>
      <c r="N41" s="3" t="str">
        <f t="shared" si="2"/>
        <v/>
      </c>
      <c r="O41" s="3" t="str">
        <f t="shared" si="3"/>
        <v/>
      </c>
    </row>
    <row r="42" spans="1:15" x14ac:dyDescent="0.55000000000000004">
      <c r="A42" s="3">
        <v>33</v>
      </c>
      <c r="C42" s="3"/>
      <c r="D42" s="3"/>
      <c r="E42" s="3"/>
      <c r="F42" s="3" t="str">
        <f t="shared" ref="F42:F73" si="4">IF(B42="","NA",IF(OR(LEFT(B42,2)="35",LEFT(B42,2)="26",LEFT(B42,2)="25",LEFT(B42,2)="31",LEFT(B42,2)="34"),"A","B"))</f>
        <v>NA</v>
      </c>
      <c r="G42" s="3"/>
      <c r="H42" s="3"/>
      <c r="I42" s="3"/>
      <c r="J42" s="3"/>
      <c r="K42" s="3"/>
      <c r="L42" s="3"/>
      <c r="M42" s="3" t="str">
        <f t="shared" ref="M42:M69" si="5">IF(C42="","",IF(B42="MONTH",DATE(VALUE(LEFT(C42,4)),VALUE(MID(C42,6,2)),1),IF(B42="QUARTER",CHOOSE(VALUE(RIGHT(C42,1)),DATE(VALUE(LEFT(C42,4)),4,1),DATE(VALUE(LEFT(C42,4)),7,1),DATE(VALUE(LEFT(C42,4)),10,1),DATE(VALUE(LEFT(C42,4)),1,1)),"")))</f>
        <v/>
      </c>
      <c r="N42" s="3" t="str">
        <f t="shared" ref="N42:N69" si="6">IF(C42="","",IF(B42&lt;&gt;"QUARTER","",CHOOSE(VALUE(RIGHT(C42,1)),DATE(VALUE(LEFT(C42,4)),6,30),DATE(VALUE(LEFT(C42,4)),9,30),DATE(VALUE(LEFT(C42,4)),12,31),DATE(VALUE(LEFT(C42,4))+1,3,31))))</f>
        <v/>
      </c>
      <c r="O42" s="3" t="str">
        <f t="shared" ref="O42:O69" si="7">IF(C42="","",IF(OR(G42="",D42=""),"MISSING: Filing Date or Filer Type",IF(AND(B42="MONTH",LEN(C42)&lt;&gt;7),"BAD Period Key (YYYY-MM)",IF(AND(B42="QUARTER",LEN(C42)&lt;&gt;7),"BAD Period Key (YYYY-Q#)","OK"))))</f>
        <v/>
      </c>
    </row>
    <row r="43" spans="1:15" x14ac:dyDescent="0.55000000000000004">
      <c r="A43" s="3">
        <v>34</v>
      </c>
      <c r="C43" s="3"/>
      <c r="D43" s="3"/>
      <c r="E43" s="3"/>
      <c r="F43" s="3" t="str">
        <f t="shared" si="4"/>
        <v>NA</v>
      </c>
      <c r="G43" s="3"/>
      <c r="H43" s="3"/>
      <c r="I43" s="3"/>
      <c r="J43" s="3"/>
      <c r="K43" s="3"/>
      <c r="L43" s="3"/>
      <c r="M43" s="3" t="str">
        <f t="shared" si="5"/>
        <v/>
      </c>
      <c r="N43" s="3" t="str">
        <f t="shared" si="6"/>
        <v/>
      </c>
      <c r="O43" s="3" t="str">
        <f t="shared" si="7"/>
        <v/>
      </c>
    </row>
    <row r="44" spans="1:15" x14ac:dyDescent="0.55000000000000004">
      <c r="A44" s="3">
        <v>35</v>
      </c>
      <c r="C44" s="3"/>
      <c r="D44" s="3"/>
      <c r="E44" s="3"/>
      <c r="F44" s="3" t="str">
        <f t="shared" si="4"/>
        <v>NA</v>
      </c>
      <c r="G44" s="3"/>
      <c r="H44" s="3"/>
      <c r="I44" s="3"/>
      <c r="J44" s="3"/>
      <c r="K44" s="3"/>
      <c r="L44" s="3"/>
      <c r="M44" s="3" t="str">
        <f t="shared" si="5"/>
        <v/>
      </c>
      <c r="N44" s="3" t="str">
        <f t="shared" si="6"/>
        <v/>
      </c>
      <c r="O44" s="3" t="str">
        <f t="shared" si="7"/>
        <v/>
      </c>
    </row>
    <row r="45" spans="1:15" x14ac:dyDescent="0.55000000000000004">
      <c r="A45" s="3">
        <v>36</v>
      </c>
      <c r="C45" s="3"/>
      <c r="D45" s="3"/>
      <c r="E45" s="3"/>
      <c r="F45" s="3" t="str">
        <f t="shared" si="4"/>
        <v>NA</v>
      </c>
      <c r="G45" s="3"/>
      <c r="H45" s="3"/>
      <c r="I45" s="3"/>
      <c r="J45" s="3"/>
      <c r="K45" s="3"/>
      <c r="L45" s="3"/>
      <c r="M45" s="3" t="str">
        <f t="shared" si="5"/>
        <v/>
      </c>
      <c r="N45" s="3" t="str">
        <f t="shared" si="6"/>
        <v/>
      </c>
      <c r="O45" s="3" t="str">
        <f t="shared" si="7"/>
        <v/>
      </c>
    </row>
    <row r="46" spans="1:15" x14ac:dyDescent="0.55000000000000004">
      <c r="A46" s="3">
        <v>37</v>
      </c>
      <c r="C46" s="3"/>
      <c r="D46" s="3"/>
      <c r="E46" s="3"/>
      <c r="F46" s="3" t="str">
        <f t="shared" si="4"/>
        <v>NA</v>
      </c>
      <c r="G46" s="3"/>
      <c r="H46" s="3"/>
      <c r="I46" s="3"/>
      <c r="J46" s="3"/>
      <c r="K46" s="3"/>
      <c r="L46" s="3"/>
      <c r="M46" s="3" t="str">
        <f t="shared" si="5"/>
        <v/>
      </c>
      <c r="N46" s="3" t="str">
        <f t="shared" si="6"/>
        <v/>
      </c>
      <c r="O46" s="3" t="str">
        <f t="shared" si="7"/>
        <v/>
      </c>
    </row>
    <row r="47" spans="1:15" x14ac:dyDescent="0.55000000000000004">
      <c r="A47" s="3">
        <v>38</v>
      </c>
      <c r="C47" s="3"/>
      <c r="D47" s="3"/>
      <c r="E47" s="3"/>
      <c r="F47" s="3" t="str">
        <f t="shared" si="4"/>
        <v>NA</v>
      </c>
      <c r="G47" s="3"/>
      <c r="H47" s="3"/>
      <c r="I47" s="3"/>
      <c r="J47" s="3"/>
      <c r="K47" s="3"/>
      <c r="L47" s="3"/>
      <c r="M47" s="3" t="str">
        <f t="shared" si="5"/>
        <v/>
      </c>
      <c r="N47" s="3" t="str">
        <f t="shared" si="6"/>
        <v/>
      </c>
      <c r="O47" s="3" t="str">
        <f t="shared" si="7"/>
        <v/>
      </c>
    </row>
    <row r="48" spans="1:15" x14ac:dyDescent="0.55000000000000004">
      <c r="A48" s="3">
        <v>39</v>
      </c>
      <c r="C48" s="3"/>
      <c r="D48" s="3"/>
      <c r="E48" s="3"/>
      <c r="F48" s="3" t="str">
        <f t="shared" si="4"/>
        <v>NA</v>
      </c>
      <c r="G48" s="3"/>
      <c r="H48" s="3"/>
      <c r="I48" s="3"/>
      <c r="J48" s="3"/>
      <c r="K48" s="3"/>
      <c r="L48" s="3"/>
      <c r="M48" s="3" t="str">
        <f t="shared" si="5"/>
        <v/>
      </c>
      <c r="N48" s="3" t="str">
        <f t="shared" si="6"/>
        <v/>
      </c>
      <c r="O48" s="3" t="str">
        <f t="shared" si="7"/>
        <v/>
      </c>
    </row>
    <row r="49" spans="1:15" x14ac:dyDescent="0.55000000000000004">
      <c r="A49" s="3">
        <v>40</v>
      </c>
      <c r="C49" s="3"/>
      <c r="D49" s="3"/>
      <c r="E49" s="3"/>
      <c r="F49" s="3" t="str">
        <f t="shared" si="4"/>
        <v>NA</v>
      </c>
      <c r="G49" s="3"/>
      <c r="H49" s="3"/>
      <c r="I49" s="3"/>
      <c r="J49" s="3"/>
      <c r="K49" s="3"/>
      <c r="L49" s="3"/>
      <c r="M49" s="3" t="str">
        <f t="shared" si="5"/>
        <v/>
      </c>
      <c r="N49" s="3" t="str">
        <f t="shared" si="6"/>
        <v/>
      </c>
      <c r="O49" s="3" t="str">
        <f t="shared" si="7"/>
        <v/>
      </c>
    </row>
    <row r="50" spans="1:15" x14ac:dyDescent="0.55000000000000004">
      <c r="A50" s="3">
        <v>41</v>
      </c>
      <c r="C50" s="3"/>
      <c r="D50" s="3"/>
      <c r="E50" s="3"/>
      <c r="F50" s="3" t="str">
        <f t="shared" si="4"/>
        <v>NA</v>
      </c>
      <c r="G50" s="3"/>
      <c r="H50" s="3"/>
      <c r="I50" s="3"/>
      <c r="J50" s="3"/>
      <c r="K50" s="3"/>
      <c r="L50" s="3"/>
      <c r="M50" s="3" t="str">
        <f t="shared" si="5"/>
        <v/>
      </c>
      <c r="N50" s="3" t="str">
        <f t="shared" si="6"/>
        <v/>
      </c>
      <c r="O50" s="3" t="str">
        <f t="shared" si="7"/>
        <v/>
      </c>
    </row>
    <row r="51" spans="1:15" x14ac:dyDescent="0.55000000000000004">
      <c r="A51" s="3">
        <v>42</v>
      </c>
      <c r="C51" s="3"/>
      <c r="D51" s="3"/>
      <c r="E51" s="3"/>
      <c r="F51" s="3" t="str">
        <f t="shared" si="4"/>
        <v>NA</v>
      </c>
      <c r="G51" s="3"/>
      <c r="H51" s="3"/>
      <c r="I51" s="3"/>
      <c r="J51" s="3"/>
      <c r="K51" s="3"/>
      <c r="L51" s="3"/>
      <c r="M51" s="3" t="str">
        <f t="shared" si="5"/>
        <v/>
      </c>
      <c r="N51" s="3" t="str">
        <f t="shared" si="6"/>
        <v/>
      </c>
      <c r="O51" s="3" t="str">
        <f t="shared" si="7"/>
        <v/>
      </c>
    </row>
    <row r="52" spans="1:15" x14ac:dyDescent="0.55000000000000004">
      <c r="A52" s="3">
        <v>43</v>
      </c>
      <c r="C52" s="3"/>
      <c r="D52" s="3"/>
      <c r="E52" s="3"/>
      <c r="F52" s="3" t="str">
        <f t="shared" si="4"/>
        <v>NA</v>
      </c>
      <c r="G52" s="3"/>
      <c r="H52" s="3"/>
      <c r="I52" s="3"/>
      <c r="J52" s="3"/>
      <c r="K52" s="3"/>
      <c r="L52" s="3"/>
      <c r="M52" s="3" t="str">
        <f t="shared" si="5"/>
        <v/>
      </c>
      <c r="N52" s="3" t="str">
        <f t="shared" si="6"/>
        <v/>
      </c>
      <c r="O52" s="3" t="str">
        <f t="shared" si="7"/>
        <v/>
      </c>
    </row>
    <row r="53" spans="1:15" x14ac:dyDescent="0.55000000000000004">
      <c r="A53" s="3">
        <v>44</v>
      </c>
      <c r="C53" s="3"/>
      <c r="D53" s="3"/>
      <c r="E53" s="3"/>
      <c r="F53" s="3" t="str">
        <f t="shared" si="4"/>
        <v>NA</v>
      </c>
      <c r="G53" s="3"/>
      <c r="H53" s="3"/>
      <c r="I53" s="3"/>
      <c r="J53" s="3"/>
      <c r="K53" s="3"/>
      <c r="L53" s="3"/>
      <c r="M53" s="3" t="str">
        <f t="shared" si="5"/>
        <v/>
      </c>
      <c r="N53" s="3" t="str">
        <f t="shared" si="6"/>
        <v/>
      </c>
      <c r="O53" s="3" t="str">
        <f t="shared" si="7"/>
        <v/>
      </c>
    </row>
    <row r="54" spans="1:15" x14ac:dyDescent="0.55000000000000004">
      <c r="A54" s="3">
        <v>45</v>
      </c>
      <c r="C54" s="3"/>
      <c r="D54" s="3"/>
      <c r="E54" s="3"/>
      <c r="F54" s="3" t="str">
        <f t="shared" si="4"/>
        <v>NA</v>
      </c>
      <c r="G54" s="3"/>
      <c r="H54" s="3"/>
      <c r="I54" s="3"/>
      <c r="J54" s="3"/>
      <c r="K54" s="3"/>
      <c r="L54" s="3"/>
      <c r="M54" s="3" t="str">
        <f t="shared" si="5"/>
        <v/>
      </c>
      <c r="N54" s="3" t="str">
        <f t="shared" si="6"/>
        <v/>
      </c>
      <c r="O54" s="3" t="str">
        <f t="shared" si="7"/>
        <v/>
      </c>
    </row>
    <row r="55" spans="1:15" x14ac:dyDescent="0.55000000000000004">
      <c r="A55" s="3">
        <v>46</v>
      </c>
      <c r="C55" s="3"/>
      <c r="D55" s="3"/>
      <c r="E55" s="3"/>
      <c r="F55" s="3" t="str">
        <f t="shared" si="4"/>
        <v>NA</v>
      </c>
      <c r="G55" s="3"/>
      <c r="H55" s="3"/>
      <c r="I55" s="3"/>
      <c r="J55" s="3"/>
      <c r="K55" s="3"/>
      <c r="L55" s="3"/>
      <c r="M55" s="3" t="str">
        <f t="shared" si="5"/>
        <v/>
      </c>
      <c r="N55" s="3" t="str">
        <f t="shared" si="6"/>
        <v/>
      </c>
      <c r="O55" s="3" t="str">
        <f t="shared" si="7"/>
        <v/>
      </c>
    </row>
    <row r="56" spans="1:15" x14ac:dyDescent="0.55000000000000004">
      <c r="A56" s="3">
        <v>47</v>
      </c>
      <c r="C56" s="3"/>
      <c r="D56" s="3"/>
      <c r="E56" s="3"/>
      <c r="F56" s="3" t="str">
        <f t="shared" si="4"/>
        <v>NA</v>
      </c>
      <c r="G56" s="3"/>
      <c r="H56" s="3"/>
      <c r="I56" s="3"/>
      <c r="J56" s="3"/>
      <c r="K56" s="3"/>
      <c r="L56" s="3"/>
      <c r="M56" s="3" t="str">
        <f t="shared" si="5"/>
        <v/>
      </c>
      <c r="N56" s="3" t="str">
        <f t="shared" si="6"/>
        <v/>
      </c>
      <c r="O56" s="3" t="str">
        <f t="shared" si="7"/>
        <v/>
      </c>
    </row>
    <row r="57" spans="1:15" x14ac:dyDescent="0.55000000000000004">
      <c r="A57" s="3">
        <v>48</v>
      </c>
      <c r="C57" s="3"/>
      <c r="D57" s="3"/>
      <c r="E57" s="3"/>
      <c r="F57" s="3" t="str">
        <f t="shared" si="4"/>
        <v>NA</v>
      </c>
      <c r="G57" s="3"/>
      <c r="H57" s="3"/>
      <c r="I57" s="3"/>
      <c r="J57" s="3"/>
      <c r="K57" s="3"/>
      <c r="L57" s="3"/>
      <c r="M57" s="3" t="str">
        <f t="shared" si="5"/>
        <v/>
      </c>
      <c r="N57" s="3" t="str">
        <f t="shared" si="6"/>
        <v/>
      </c>
      <c r="O57" s="3" t="str">
        <f t="shared" si="7"/>
        <v/>
      </c>
    </row>
    <row r="58" spans="1:15" x14ac:dyDescent="0.55000000000000004">
      <c r="A58" s="3">
        <v>49</v>
      </c>
      <c r="C58" s="3"/>
      <c r="D58" s="3"/>
      <c r="E58" s="3"/>
      <c r="F58" s="3" t="str">
        <f t="shared" si="4"/>
        <v>NA</v>
      </c>
      <c r="G58" s="3"/>
      <c r="H58" s="3"/>
      <c r="I58" s="3"/>
      <c r="J58" s="3"/>
      <c r="K58" s="3"/>
      <c r="L58" s="3"/>
      <c r="M58" s="3" t="str">
        <f t="shared" si="5"/>
        <v/>
      </c>
      <c r="N58" s="3" t="str">
        <f t="shared" si="6"/>
        <v/>
      </c>
      <c r="O58" s="3" t="str">
        <f t="shared" si="7"/>
        <v/>
      </c>
    </row>
    <row r="59" spans="1:15" x14ac:dyDescent="0.55000000000000004">
      <c r="A59" s="3">
        <v>50</v>
      </c>
      <c r="C59" s="3"/>
      <c r="D59" s="3"/>
      <c r="E59" s="3"/>
      <c r="F59" s="3" t="str">
        <f t="shared" si="4"/>
        <v>NA</v>
      </c>
      <c r="G59" s="3"/>
      <c r="H59" s="3"/>
      <c r="I59" s="3"/>
      <c r="J59" s="3"/>
      <c r="K59" s="3"/>
      <c r="L59" s="3"/>
      <c r="M59" s="3" t="str">
        <f t="shared" si="5"/>
        <v/>
      </c>
      <c r="N59" s="3" t="str">
        <f t="shared" si="6"/>
        <v/>
      </c>
      <c r="O59" s="3" t="str">
        <f t="shared" si="7"/>
        <v/>
      </c>
    </row>
    <row r="60" spans="1:15" x14ac:dyDescent="0.55000000000000004">
      <c r="A60" s="3">
        <v>51</v>
      </c>
      <c r="C60" s="3"/>
      <c r="D60" s="3"/>
      <c r="E60" s="3"/>
      <c r="F60" s="3" t="str">
        <f t="shared" si="4"/>
        <v>NA</v>
      </c>
      <c r="G60" s="3"/>
      <c r="H60" s="3"/>
      <c r="I60" s="3"/>
      <c r="J60" s="3"/>
      <c r="K60" s="3"/>
      <c r="L60" s="3"/>
      <c r="M60" s="3" t="str">
        <f t="shared" si="5"/>
        <v/>
      </c>
      <c r="N60" s="3" t="str">
        <f t="shared" si="6"/>
        <v/>
      </c>
      <c r="O60" s="3" t="str">
        <f t="shared" si="7"/>
        <v/>
      </c>
    </row>
    <row r="61" spans="1:15" x14ac:dyDescent="0.55000000000000004">
      <c r="A61" s="3">
        <v>52</v>
      </c>
      <c r="C61" s="3"/>
      <c r="D61" s="3"/>
      <c r="E61" s="3"/>
      <c r="F61" s="3" t="str">
        <f t="shared" si="4"/>
        <v>NA</v>
      </c>
      <c r="G61" s="3"/>
      <c r="H61" s="3"/>
      <c r="I61" s="3"/>
      <c r="J61" s="3"/>
      <c r="K61" s="3"/>
      <c r="L61" s="3"/>
      <c r="M61" s="3" t="str">
        <f t="shared" si="5"/>
        <v/>
      </c>
      <c r="N61" s="3" t="str">
        <f t="shared" si="6"/>
        <v/>
      </c>
      <c r="O61" s="3" t="str">
        <f t="shared" si="7"/>
        <v/>
      </c>
    </row>
    <row r="62" spans="1:15" x14ac:dyDescent="0.55000000000000004">
      <c r="A62" s="3">
        <v>53</v>
      </c>
      <c r="C62" s="3"/>
      <c r="D62" s="3"/>
      <c r="E62" s="3"/>
      <c r="F62" s="3" t="str">
        <f t="shared" si="4"/>
        <v>NA</v>
      </c>
      <c r="G62" s="3"/>
      <c r="H62" s="3"/>
      <c r="I62" s="3"/>
      <c r="J62" s="3"/>
      <c r="K62" s="3"/>
      <c r="L62" s="3"/>
      <c r="M62" s="3" t="str">
        <f t="shared" si="5"/>
        <v/>
      </c>
      <c r="N62" s="3" t="str">
        <f t="shared" si="6"/>
        <v/>
      </c>
      <c r="O62" s="3" t="str">
        <f t="shared" si="7"/>
        <v/>
      </c>
    </row>
    <row r="63" spans="1:15" x14ac:dyDescent="0.55000000000000004">
      <c r="A63" s="3">
        <v>54</v>
      </c>
      <c r="C63" s="3"/>
      <c r="D63" s="3"/>
      <c r="E63" s="3"/>
      <c r="F63" s="3" t="str">
        <f t="shared" si="4"/>
        <v>NA</v>
      </c>
      <c r="G63" s="3"/>
      <c r="H63" s="3"/>
      <c r="I63" s="3"/>
      <c r="J63" s="3"/>
      <c r="K63" s="3"/>
      <c r="L63" s="3"/>
      <c r="M63" s="3" t="str">
        <f t="shared" si="5"/>
        <v/>
      </c>
      <c r="N63" s="3" t="str">
        <f t="shared" si="6"/>
        <v/>
      </c>
      <c r="O63" s="3" t="str">
        <f t="shared" si="7"/>
        <v/>
      </c>
    </row>
    <row r="64" spans="1:15" x14ac:dyDescent="0.55000000000000004">
      <c r="A64" s="3">
        <v>55</v>
      </c>
      <c r="C64" s="3"/>
      <c r="D64" s="3"/>
      <c r="E64" s="3"/>
      <c r="F64" s="3" t="str">
        <f t="shared" si="4"/>
        <v>NA</v>
      </c>
      <c r="G64" s="3"/>
      <c r="H64" s="3"/>
      <c r="I64" s="3"/>
      <c r="J64" s="3"/>
      <c r="K64" s="3"/>
      <c r="L64" s="3"/>
      <c r="M64" s="3" t="str">
        <f t="shared" si="5"/>
        <v/>
      </c>
      <c r="N64" s="3" t="str">
        <f t="shared" si="6"/>
        <v/>
      </c>
      <c r="O64" s="3" t="str">
        <f t="shared" si="7"/>
        <v/>
      </c>
    </row>
    <row r="65" spans="1:15" x14ac:dyDescent="0.55000000000000004">
      <c r="A65" s="3">
        <v>56</v>
      </c>
      <c r="C65" s="3"/>
      <c r="D65" s="3"/>
      <c r="E65" s="3"/>
      <c r="F65" s="3" t="str">
        <f t="shared" si="4"/>
        <v>NA</v>
      </c>
      <c r="G65" s="3"/>
      <c r="H65" s="3"/>
      <c r="I65" s="3"/>
      <c r="J65" s="3"/>
      <c r="K65" s="3"/>
      <c r="L65" s="3"/>
      <c r="M65" s="3" t="str">
        <f t="shared" si="5"/>
        <v/>
      </c>
      <c r="N65" s="3" t="str">
        <f t="shared" si="6"/>
        <v/>
      </c>
      <c r="O65" s="3" t="str">
        <f t="shared" si="7"/>
        <v/>
      </c>
    </row>
    <row r="66" spans="1:15" x14ac:dyDescent="0.55000000000000004">
      <c r="A66" s="3">
        <v>57</v>
      </c>
      <c r="C66" s="3"/>
      <c r="D66" s="3"/>
      <c r="E66" s="3"/>
      <c r="F66" s="3" t="str">
        <f t="shared" si="4"/>
        <v>NA</v>
      </c>
      <c r="G66" s="3"/>
      <c r="H66" s="3"/>
      <c r="I66" s="3"/>
      <c r="J66" s="3"/>
      <c r="K66" s="3"/>
      <c r="L66" s="3"/>
      <c r="M66" s="3" t="str">
        <f t="shared" si="5"/>
        <v/>
      </c>
      <c r="N66" s="3" t="str">
        <f t="shared" si="6"/>
        <v/>
      </c>
      <c r="O66" s="3" t="str">
        <f t="shared" si="7"/>
        <v/>
      </c>
    </row>
    <row r="67" spans="1:15" x14ac:dyDescent="0.55000000000000004">
      <c r="A67" s="3">
        <v>58</v>
      </c>
      <c r="C67" s="3"/>
      <c r="D67" s="3"/>
      <c r="E67" s="3"/>
      <c r="F67" s="3" t="str">
        <f t="shared" si="4"/>
        <v>NA</v>
      </c>
      <c r="G67" s="3"/>
      <c r="H67" s="3"/>
      <c r="I67" s="3"/>
      <c r="J67" s="3"/>
      <c r="K67" s="3"/>
      <c r="L67" s="3"/>
      <c r="M67" s="3" t="str">
        <f t="shared" si="5"/>
        <v/>
      </c>
      <c r="N67" s="3" t="str">
        <f t="shared" si="6"/>
        <v/>
      </c>
      <c r="O67" s="3" t="str">
        <f t="shared" si="7"/>
        <v/>
      </c>
    </row>
    <row r="68" spans="1:15" x14ac:dyDescent="0.55000000000000004">
      <c r="A68" s="3">
        <v>59</v>
      </c>
      <c r="C68" s="3"/>
      <c r="D68" s="3"/>
      <c r="E68" s="3"/>
      <c r="F68" s="3" t="str">
        <f t="shared" si="4"/>
        <v>NA</v>
      </c>
      <c r="G68" s="3"/>
      <c r="H68" s="3"/>
      <c r="I68" s="3"/>
      <c r="J68" s="3"/>
      <c r="K68" s="3"/>
      <c r="L68" s="3"/>
      <c r="M68" s="3" t="str">
        <f t="shared" si="5"/>
        <v/>
      </c>
      <c r="N68" s="3" t="str">
        <f t="shared" si="6"/>
        <v/>
      </c>
      <c r="O68" s="3" t="str">
        <f t="shared" si="7"/>
        <v/>
      </c>
    </row>
    <row r="69" spans="1:15" x14ac:dyDescent="0.55000000000000004">
      <c r="A69" s="3">
        <v>60</v>
      </c>
      <c r="C69" s="3"/>
      <c r="D69" s="3"/>
      <c r="E69" s="3"/>
      <c r="F69" s="3" t="str">
        <f t="shared" si="4"/>
        <v>NA</v>
      </c>
      <c r="G69" s="3"/>
      <c r="H69" s="3"/>
      <c r="I69" s="3"/>
      <c r="J69" s="3"/>
      <c r="K69" s="3"/>
      <c r="L69" s="3"/>
      <c r="M69" s="3" t="str">
        <f t="shared" si="5"/>
        <v/>
      </c>
      <c r="N69" s="3" t="str">
        <f t="shared" si="6"/>
        <v/>
      </c>
      <c r="O69" s="3" t="str">
        <f t="shared" si="7"/>
        <v/>
      </c>
    </row>
    <row r="70" spans="1:15" x14ac:dyDescent="0.55000000000000004">
      <c r="F70" t="str">
        <f t="shared" si="4"/>
        <v>NA</v>
      </c>
    </row>
    <row r="71" spans="1:15" x14ac:dyDescent="0.55000000000000004">
      <c r="F71" t="str">
        <f t="shared" si="4"/>
        <v>NA</v>
      </c>
    </row>
    <row r="72" spans="1:15" x14ac:dyDescent="0.55000000000000004">
      <c r="F72" t="str">
        <f t="shared" si="4"/>
        <v>NA</v>
      </c>
    </row>
    <row r="73" spans="1:15" x14ac:dyDescent="0.55000000000000004">
      <c r="F73" t="str">
        <f t="shared" si="4"/>
        <v>NA</v>
      </c>
    </row>
    <row r="74" spans="1:15" x14ac:dyDescent="0.55000000000000004">
      <c r="F74" t="str">
        <f t="shared" ref="F74:F105" si="8">IF(B74="","NA",IF(OR(LEFT(B74,2)="35",LEFT(B74,2)="26",LEFT(B74,2)="25",LEFT(B74,2)="31",LEFT(B74,2)="34"),"A","B"))</f>
        <v>NA</v>
      </c>
    </row>
    <row r="75" spans="1:15" x14ac:dyDescent="0.55000000000000004">
      <c r="F75" t="str">
        <f t="shared" si="8"/>
        <v>NA</v>
      </c>
    </row>
    <row r="76" spans="1:15" x14ac:dyDescent="0.55000000000000004">
      <c r="F76" t="str">
        <f t="shared" si="8"/>
        <v>NA</v>
      </c>
    </row>
    <row r="77" spans="1:15" x14ac:dyDescent="0.55000000000000004">
      <c r="F77" t="str">
        <f t="shared" si="8"/>
        <v>NA</v>
      </c>
    </row>
    <row r="78" spans="1:15" x14ac:dyDescent="0.55000000000000004">
      <c r="F78" t="str">
        <f t="shared" si="8"/>
        <v>NA</v>
      </c>
    </row>
    <row r="79" spans="1:15" x14ac:dyDescent="0.55000000000000004">
      <c r="F79" t="str">
        <f t="shared" si="8"/>
        <v>NA</v>
      </c>
    </row>
    <row r="80" spans="1:15" x14ac:dyDescent="0.55000000000000004">
      <c r="F80" t="str">
        <f t="shared" si="8"/>
        <v>NA</v>
      </c>
    </row>
    <row r="81" spans="6:6" x14ac:dyDescent="0.55000000000000004">
      <c r="F81" t="str">
        <f t="shared" si="8"/>
        <v>NA</v>
      </c>
    </row>
    <row r="82" spans="6:6" x14ac:dyDescent="0.55000000000000004">
      <c r="F82" t="str">
        <f t="shared" si="8"/>
        <v>NA</v>
      </c>
    </row>
    <row r="83" spans="6:6" x14ac:dyDescent="0.55000000000000004">
      <c r="F83" t="str">
        <f t="shared" si="8"/>
        <v>NA</v>
      </c>
    </row>
    <row r="84" spans="6:6" x14ac:dyDescent="0.55000000000000004">
      <c r="F84" t="str">
        <f t="shared" si="8"/>
        <v>NA</v>
      </c>
    </row>
    <row r="85" spans="6:6" x14ac:dyDescent="0.55000000000000004">
      <c r="F85" t="str">
        <f t="shared" si="8"/>
        <v>NA</v>
      </c>
    </row>
    <row r="86" spans="6:6" x14ac:dyDescent="0.55000000000000004">
      <c r="F86" t="str">
        <f t="shared" si="8"/>
        <v>NA</v>
      </c>
    </row>
    <row r="87" spans="6:6" x14ac:dyDescent="0.55000000000000004">
      <c r="F87" t="str">
        <f t="shared" si="8"/>
        <v>NA</v>
      </c>
    </row>
    <row r="88" spans="6:6" x14ac:dyDescent="0.55000000000000004">
      <c r="F88" t="str">
        <f t="shared" si="8"/>
        <v>NA</v>
      </c>
    </row>
    <row r="89" spans="6:6" x14ac:dyDescent="0.55000000000000004">
      <c r="F89" t="str">
        <f t="shared" si="8"/>
        <v>NA</v>
      </c>
    </row>
    <row r="90" spans="6:6" x14ac:dyDescent="0.55000000000000004">
      <c r="F90" t="str">
        <f t="shared" si="8"/>
        <v>NA</v>
      </c>
    </row>
    <row r="91" spans="6:6" x14ac:dyDescent="0.55000000000000004">
      <c r="F91" t="str">
        <f t="shared" si="8"/>
        <v>NA</v>
      </c>
    </row>
    <row r="92" spans="6:6" x14ac:dyDescent="0.55000000000000004">
      <c r="F92" t="str">
        <f t="shared" si="8"/>
        <v>NA</v>
      </c>
    </row>
    <row r="93" spans="6:6" x14ac:dyDescent="0.55000000000000004">
      <c r="F93" t="str">
        <f t="shared" si="8"/>
        <v>NA</v>
      </c>
    </row>
    <row r="94" spans="6:6" x14ac:dyDescent="0.55000000000000004">
      <c r="F94" t="str">
        <f t="shared" si="8"/>
        <v>NA</v>
      </c>
    </row>
    <row r="95" spans="6:6" x14ac:dyDescent="0.55000000000000004">
      <c r="F95" t="str">
        <f t="shared" si="8"/>
        <v>NA</v>
      </c>
    </row>
    <row r="96" spans="6:6" x14ac:dyDescent="0.55000000000000004">
      <c r="F96" t="str">
        <f t="shared" si="8"/>
        <v>NA</v>
      </c>
    </row>
    <row r="97" spans="6:6" x14ac:dyDescent="0.55000000000000004">
      <c r="F97" t="str">
        <f t="shared" si="8"/>
        <v>NA</v>
      </c>
    </row>
    <row r="98" spans="6:6" x14ac:dyDescent="0.55000000000000004">
      <c r="F98" t="str">
        <f t="shared" si="8"/>
        <v>NA</v>
      </c>
    </row>
    <row r="99" spans="6:6" x14ac:dyDescent="0.55000000000000004">
      <c r="F99" t="str">
        <f t="shared" si="8"/>
        <v>NA</v>
      </c>
    </row>
    <row r="100" spans="6:6" x14ac:dyDescent="0.55000000000000004">
      <c r="F100" t="str">
        <f t="shared" si="8"/>
        <v>NA</v>
      </c>
    </row>
    <row r="101" spans="6:6" x14ac:dyDescent="0.55000000000000004">
      <c r="F101" t="str">
        <f t="shared" si="8"/>
        <v>NA</v>
      </c>
    </row>
    <row r="102" spans="6:6" x14ac:dyDescent="0.55000000000000004">
      <c r="F102" t="str">
        <f t="shared" si="8"/>
        <v>NA</v>
      </c>
    </row>
    <row r="103" spans="6:6" x14ac:dyDescent="0.55000000000000004">
      <c r="F103" t="str">
        <f t="shared" si="8"/>
        <v>NA</v>
      </c>
    </row>
    <row r="104" spans="6:6" x14ac:dyDescent="0.55000000000000004">
      <c r="F104" t="str">
        <f t="shared" si="8"/>
        <v>NA</v>
      </c>
    </row>
    <row r="105" spans="6:6" x14ac:dyDescent="0.55000000000000004">
      <c r="F105" t="str">
        <f t="shared" si="8"/>
        <v>NA</v>
      </c>
    </row>
    <row r="106" spans="6:6" x14ac:dyDescent="0.55000000000000004">
      <c r="F106" t="str">
        <f t="shared" ref="F106:F137" si="9">IF(B106="","NA",IF(OR(LEFT(B106,2)="35",LEFT(B106,2)="26",LEFT(B106,2)="25",LEFT(B106,2)="31",LEFT(B106,2)="34"),"A","B"))</f>
        <v>NA</v>
      </c>
    </row>
    <row r="107" spans="6:6" x14ac:dyDescent="0.55000000000000004">
      <c r="F107" t="str">
        <f t="shared" si="9"/>
        <v>NA</v>
      </c>
    </row>
    <row r="108" spans="6:6" x14ac:dyDescent="0.55000000000000004">
      <c r="F108" t="str">
        <f t="shared" si="9"/>
        <v>NA</v>
      </c>
    </row>
    <row r="109" spans="6:6" x14ac:dyDescent="0.55000000000000004">
      <c r="F109" t="str">
        <f t="shared" si="9"/>
        <v>NA</v>
      </c>
    </row>
    <row r="110" spans="6:6" x14ac:dyDescent="0.55000000000000004">
      <c r="F110" t="str">
        <f t="shared" si="9"/>
        <v>NA</v>
      </c>
    </row>
    <row r="111" spans="6:6" x14ac:dyDescent="0.55000000000000004">
      <c r="F111" t="str">
        <f t="shared" si="9"/>
        <v>NA</v>
      </c>
    </row>
    <row r="112" spans="6:6" x14ac:dyDescent="0.55000000000000004">
      <c r="F112" t="str">
        <f t="shared" si="9"/>
        <v>NA</v>
      </c>
    </row>
    <row r="113" spans="6:6" x14ac:dyDescent="0.55000000000000004">
      <c r="F113" t="str">
        <f t="shared" si="9"/>
        <v>NA</v>
      </c>
    </row>
    <row r="114" spans="6:6" x14ac:dyDescent="0.55000000000000004">
      <c r="F114" t="str">
        <f t="shared" si="9"/>
        <v>NA</v>
      </c>
    </row>
    <row r="115" spans="6:6" x14ac:dyDescent="0.55000000000000004">
      <c r="F115" t="str">
        <f t="shared" si="9"/>
        <v>NA</v>
      </c>
    </row>
    <row r="116" spans="6:6" x14ac:dyDescent="0.55000000000000004">
      <c r="F116" t="str">
        <f t="shared" si="9"/>
        <v>NA</v>
      </c>
    </row>
    <row r="117" spans="6:6" x14ac:dyDescent="0.55000000000000004">
      <c r="F117" t="str">
        <f t="shared" si="9"/>
        <v>NA</v>
      </c>
    </row>
    <row r="118" spans="6:6" x14ac:dyDescent="0.55000000000000004">
      <c r="F118" t="str">
        <f t="shared" si="9"/>
        <v>NA</v>
      </c>
    </row>
    <row r="119" spans="6:6" x14ac:dyDescent="0.55000000000000004">
      <c r="F119" t="str">
        <f t="shared" si="9"/>
        <v>NA</v>
      </c>
    </row>
    <row r="120" spans="6:6" x14ac:dyDescent="0.55000000000000004">
      <c r="F120" t="str">
        <f t="shared" si="9"/>
        <v>NA</v>
      </c>
    </row>
    <row r="121" spans="6:6" x14ac:dyDescent="0.55000000000000004">
      <c r="F121" t="str">
        <f t="shared" si="9"/>
        <v>NA</v>
      </c>
    </row>
    <row r="122" spans="6:6" x14ac:dyDescent="0.55000000000000004">
      <c r="F122" t="str">
        <f t="shared" si="9"/>
        <v>NA</v>
      </c>
    </row>
    <row r="123" spans="6:6" x14ac:dyDescent="0.55000000000000004">
      <c r="F123" t="str">
        <f t="shared" si="9"/>
        <v>NA</v>
      </c>
    </row>
    <row r="124" spans="6:6" x14ac:dyDescent="0.55000000000000004">
      <c r="F124" t="str">
        <f t="shared" si="9"/>
        <v>NA</v>
      </c>
    </row>
    <row r="125" spans="6:6" x14ac:dyDescent="0.55000000000000004">
      <c r="F125" t="str">
        <f t="shared" si="9"/>
        <v>NA</v>
      </c>
    </row>
    <row r="126" spans="6:6" x14ac:dyDescent="0.55000000000000004">
      <c r="F126" t="str">
        <f t="shared" si="9"/>
        <v>NA</v>
      </c>
    </row>
    <row r="127" spans="6:6" x14ac:dyDescent="0.55000000000000004">
      <c r="F127" t="str">
        <f t="shared" si="9"/>
        <v>NA</v>
      </c>
    </row>
    <row r="128" spans="6:6" x14ac:dyDescent="0.55000000000000004">
      <c r="F128" t="str">
        <f t="shared" si="9"/>
        <v>NA</v>
      </c>
    </row>
    <row r="129" spans="6:6" x14ac:dyDescent="0.55000000000000004">
      <c r="F129" t="str">
        <f t="shared" si="9"/>
        <v>NA</v>
      </c>
    </row>
    <row r="130" spans="6:6" x14ac:dyDescent="0.55000000000000004">
      <c r="F130" t="str">
        <f t="shared" si="9"/>
        <v>NA</v>
      </c>
    </row>
    <row r="131" spans="6:6" x14ac:dyDescent="0.55000000000000004">
      <c r="F131" t="str">
        <f t="shared" si="9"/>
        <v>NA</v>
      </c>
    </row>
    <row r="132" spans="6:6" x14ac:dyDescent="0.55000000000000004">
      <c r="F132" t="str">
        <f t="shared" si="9"/>
        <v>NA</v>
      </c>
    </row>
    <row r="133" spans="6:6" x14ac:dyDescent="0.55000000000000004">
      <c r="F133" t="str">
        <f t="shared" si="9"/>
        <v>NA</v>
      </c>
    </row>
    <row r="134" spans="6:6" x14ac:dyDescent="0.55000000000000004">
      <c r="F134" t="str">
        <f t="shared" si="9"/>
        <v>NA</v>
      </c>
    </row>
    <row r="135" spans="6:6" x14ac:dyDescent="0.55000000000000004">
      <c r="F135" t="str">
        <f t="shared" si="9"/>
        <v>NA</v>
      </c>
    </row>
    <row r="136" spans="6:6" x14ac:dyDescent="0.55000000000000004">
      <c r="F136" t="str">
        <f t="shared" si="9"/>
        <v>NA</v>
      </c>
    </row>
    <row r="137" spans="6:6" x14ac:dyDescent="0.55000000000000004">
      <c r="F137" t="str">
        <f t="shared" si="9"/>
        <v>NA</v>
      </c>
    </row>
    <row r="138" spans="6:6" x14ac:dyDescent="0.55000000000000004">
      <c r="F138" t="str">
        <f t="shared" ref="F138:F169" si="10">IF(B138="","NA",IF(OR(LEFT(B138,2)="35",LEFT(B138,2)="26",LEFT(B138,2)="25",LEFT(B138,2)="31",LEFT(B138,2)="34"),"A","B"))</f>
        <v>NA</v>
      </c>
    </row>
    <row r="139" spans="6:6" x14ac:dyDescent="0.55000000000000004">
      <c r="F139" t="str">
        <f t="shared" si="10"/>
        <v>NA</v>
      </c>
    </row>
    <row r="140" spans="6:6" x14ac:dyDescent="0.55000000000000004">
      <c r="F140" t="str">
        <f t="shared" si="10"/>
        <v>NA</v>
      </c>
    </row>
    <row r="141" spans="6:6" x14ac:dyDescent="0.55000000000000004">
      <c r="F141" t="str">
        <f t="shared" si="10"/>
        <v>NA</v>
      </c>
    </row>
    <row r="142" spans="6:6" x14ac:dyDescent="0.55000000000000004">
      <c r="F142" t="str">
        <f t="shared" si="10"/>
        <v>NA</v>
      </c>
    </row>
    <row r="143" spans="6:6" x14ac:dyDescent="0.55000000000000004">
      <c r="F143" t="str">
        <f t="shared" si="10"/>
        <v>NA</v>
      </c>
    </row>
    <row r="144" spans="6:6" x14ac:dyDescent="0.55000000000000004">
      <c r="F144" t="str">
        <f t="shared" si="10"/>
        <v>NA</v>
      </c>
    </row>
    <row r="145" spans="6:6" x14ac:dyDescent="0.55000000000000004">
      <c r="F145" t="str">
        <f t="shared" si="10"/>
        <v>NA</v>
      </c>
    </row>
    <row r="146" spans="6:6" x14ac:dyDescent="0.55000000000000004">
      <c r="F146" t="str">
        <f t="shared" si="10"/>
        <v>NA</v>
      </c>
    </row>
    <row r="147" spans="6:6" x14ac:dyDescent="0.55000000000000004">
      <c r="F147" t="str">
        <f t="shared" si="10"/>
        <v>NA</v>
      </c>
    </row>
    <row r="148" spans="6:6" x14ac:dyDescent="0.55000000000000004">
      <c r="F148" t="str">
        <f t="shared" si="10"/>
        <v>NA</v>
      </c>
    </row>
    <row r="149" spans="6:6" x14ac:dyDescent="0.55000000000000004">
      <c r="F149" t="str">
        <f t="shared" si="10"/>
        <v>NA</v>
      </c>
    </row>
    <row r="150" spans="6:6" x14ac:dyDescent="0.55000000000000004">
      <c r="F150" t="str">
        <f t="shared" si="10"/>
        <v>NA</v>
      </c>
    </row>
    <row r="151" spans="6:6" x14ac:dyDescent="0.55000000000000004">
      <c r="F151" t="str">
        <f t="shared" si="10"/>
        <v>NA</v>
      </c>
    </row>
    <row r="152" spans="6:6" x14ac:dyDescent="0.55000000000000004">
      <c r="F152" t="str">
        <f t="shared" si="10"/>
        <v>NA</v>
      </c>
    </row>
    <row r="153" spans="6:6" x14ac:dyDescent="0.55000000000000004">
      <c r="F153" t="str">
        <f t="shared" si="10"/>
        <v>NA</v>
      </c>
    </row>
    <row r="154" spans="6:6" x14ac:dyDescent="0.55000000000000004">
      <c r="F154" t="str">
        <f t="shared" si="10"/>
        <v>NA</v>
      </c>
    </row>
    <row r="155" spans="6:6" x14ac:dyDescent="0.55000000000000004">
      <c r="F155" t="str">
        <f t="shared" si="10"/>
        <v>NA</v>
      </c>
    </row>
    <row r="156" spans="6:6" x14ac:dyDescent="0.55000000000000004">
      <c r="F156" t="str">
        <f t="shared" si="10"/>
        <v>NA</v>
      </c>
    </row>
    <row r="157" spans="6:6" x14ac:dyDescent="0.55000000000000004">
      <c r="F157" t="str">
        <f t="shared" si="10"/>
        <v>NA</v>
      </c>
    </row>
    <row r="158" spans="6:6" x14ac:dyDescent="0.55000000000000004">
      <c r="F158" t="str">
        <f t="shared" si="10"/>
        <v>NA</v>
      </c>
    </row>
    <row r="159" spans="6:6" x14ac:dyDescent="0.55000000000000004">
      <c r="F159" t="str">
        <f t="shared" si="10"/>
        <v>NA</v>
      </c>
    </row>
    <row r="160" spans="6:6" x14ac:dyDescent="0.55000000000000004">
      <c r="F160" t="str">
        <f t="shared" si="10"/>
        <v>NA</v>
      </c>
    </row>
    <row r="161" spans="6:6" x14ac:dyDescent="0.55000000000000004">
      <c r="F161" t="str">
        <f t="shared" si="10"/>
        <v>NA</v>
      </c>
    </row>
    <row r="162" spans="6:6" x14ac:dyDescent="0.55000000000000004">
      <c r="F162" t="str">
        <f t="shared" si="10"/>
        <v>NA</v>
      </c>
    </row>
    <row r="163" spans="6:6" x14ac:dyDescent="0.55000000000000004">
      <c r="F163" t="str">
        <f t="shared" si="10"/>
        <v>NA</v>
      </c>
    </row>
    <row r="164" spans="6:6" x14ac:dyDescent="0.55000000000000004">
      <c r="F164" t="str">
        <f t="shared" si="10"/>
        <v>NA</v>
      </c>
    </row>
    <row r="165" spans="6:6" x14ac:dyDescent="0.55000000000000004">
      <c r="F165" t="str">
        <f t="shared" si="10"/>
        <v>NA</v>
      </c>
    </row>
    <row r="166" spans="6:6" x14ac:dyDescent="0.55000000000000004">
      <c r="F166" t="str">
        <f t="shared" si="10"/>
        <v>NA</v>
      </c>
    </row>
    <row r="167" spans="6:6" x14ac:dyDescent="0.55000000000000004">
      <c r="F167" t="str">
        <f t="shared" si="10"/>
        <v>NA</v>
      </c>
    </row>
    <row r="168" spans="6:6" x14ac:dyDescent="0.55000000000000004">
      <c r="F168" t="str">
        <f t="shared" si="10"/>
        <v>NA</v>
      </c>
    </row>
    <row r="169" spans="6:6" x14ac:dyDescent="0.55000000000000004">
      <c r="F169" t="str">
        <f t="shared" si="10"/>
        <v>NA</v>
      </c>
    </row>
    <row r="170" spans="6:6" x14ac:dyDescent="0.55000000000000004">
      <c r="F170" t="str">
        <f t="shared" ref="F170:F199" si="11">IF(B170="","NA",IF(OR(LEFT(B170,2)="35",LEFT(B170,2)="26",LEFT(B170,2)="25",LEFT(B170,2)="31",LEFT(B170,2)="34"),"A","B"))</f>
        <v>NA</v>
      </c>
    </row>
    <row r="171" spans="6:6" x14ac:dyDescent="0.55000000000000004">
      <c r="F171" t="str">
        <f t="shared" si="11"/>
        <v>NA</v>
      </c>
    </row>
    <row r="172" spans="6:6" x14ac:dyDescent="0.55000000000000004">
      <c r="F172" t="str">
        <f t="shared" si="11"/>
        <v>NA</v>
      </c>
    </row>
    <row r="173" spans="6:6" x14ac:dyDescent="0.55000000000000004">
      <c r="F173" t="str">
        <f t="shared" si="11"/>
        <v>NA</v>
      </c>
    </row>
    <row r="174" spans="6:6" x14ac:dyDescent="0.55000000000000004">
      <c r="F174" t="str">
        <f t="shared" si="11"/>
        <v>NA</v>
      </c>
    </row>
    <row r="175" spans="6:6" x14ac:dyDescent="0.55000000000000004">
      <c r="F175" t="str">
        <f t="shared" si="11"/>
        <v>NA</v>
      </c>
    </row>
    <row r="176" spans="6:6" x14ac:dyDescent="0.55000000000000004">
      <c r="F176" t="str">
        <f t="shared" si="11"/>
        <v>NA</v>
      </c>
    </row>
    <row r="177" spans="6:6" x14ac:dyDescent="0.55000000000000004">
      <c r="F177" t="str">
        <f t="shared" si="11"/>
        <v>NA</v>
      </c>
    </row>
    <row r="178" spans="6:6" x14ac:dyDescent="0.55000000000000004">
      <c r="F178" t="str">
        <f t="shared" si="11"/>
        <v>NA</v>
      </c>
    </row>
    <row r="179" spans="6:6" x14ac:dyDescent="0.55000000000000004">
      <c r="F179" t="str">
        <f t="shared" si="11"/>
        <v>NA</v>
      </c>
    </row>
    <row r="180" spans="6:6" x14ac:dyDescent="0.55000000000000004">
      <c r="F180" t="str">
        <f t="shared" si="11"/>
        <v>NA</v>
      </c>
    </row>
    <row r="181" spans="6:6" x14ac:dyDescent="0.55000000000000004">
      <c r="F181" t="str">
        <f t="shared" si="11"/>
        <v>NA</v>
      </c>
    </row>
    <row r="182" spans="6:6" x14ac:dyDescent="0.55000000000000004">
      <c r="F182" t="str">
        <f t="shared" si="11"/>
        <v>NA</v>
      </c>
    </row>
    <row r="183" spans="6:6" x14ac:dyDescent="0.55000000000000004">
      <c r="F183" t="str">
        <f t="shared" si="11"/>
        <v>NA</v>
      </c>
    </row>
    <row r="184" spans="6:6" x14ac:dyDescent="0.55000000000000004">
      <c r="F184" t="str">
        <f t="shared" si="11"/>
        <v>NA</v>
      </c>
    </row>
    <row r="185" spans="6:6" x14ac:dyDescent="0.55000000000000004">
      <c r="F185" t="str">
        <f t="shared" si="11"/>
        <v>NA</v>
      </c>
    </row>
    <row r="186" spans="6:6" x14ac:dyDescent="0.55000000000000004">
      <c r="F186" t="str">
        <f t="shared" si="11"/>
        <v>NA</v>
      </c>
    </row>
    <row r="187" spans="6:6" x14ac:dyDescent="0.55000000000000004">
      <c r="F187" t="str">
        <f t="shared" si="11"/>
        <v>NA</v>
      </c>
    </row>
    <row r="188" spans="6:6" x14ac:dyDescent="0.55000000000000004">
      <c r="F188" t="str">
        <f t="shared" si="11"/>
        <v>NA</v>
      </c>
    </row>
    <row r="189" spans="6:6" x14ac:dyDescent="0.55000000000000004">
      <c r="F189" t="str">
        <f t="shared" si="11"/>
        <v>NA</v>
      </c>
    </row>
    <row r="190" spans="6:6" x14ac:dyDescent="0.55000000000000004">
      <c r="F190" t="str">
        <f t="shared" si="11"/>
        <v>NA</v>
      </c>
    </row>
    <row r="191" spans="6:6" x14ac:dyDescent="0.55000000000000004">
      <c r="F191" t="str">
        <f t="shared" si="11"/>
        <v>NA</v>
      </c>
    </row>
    <row r="192" spans="6:6" x14ac:dyDescent="0.55000000000000004">
      <c r="F192" t="str">
        <f t="shared" si="11"/>
        <v>NA</v>
      </c>
    </row>
    <row r="193" spans="6:6" x14ac:dyDescent="0.55000000000000004">
      <c r="F193" t="str">
        <f t="shared" si="11"/>
        <v>NA</v>
      </c>
    </row>
    <row r="194" spans="6:6" x14ac:dyDescent="0.55000000000000004">
      <c r="F194" t="str">
        <f t="shared" si="11"/>
        <v>NA</v>
      </c>
    </row>
    <row r="195" spans="6:6" x14ac:dyDescent="0.55000000000000004">
      <c r="F195" t="str">
        <f t="shared" si="11"/>
        <v>NA</v>
      </c>
    </row>
    <row r="196" spans="6:6" x14ac:dyDescent="0.55000000000000004">
      <c r="F196" t="str">
        <f t="shared" si="11"/>
        <v>NA</v>
      </c>
    </row>
    <row r="197" spans="6:6" x14ac:dyDescent="0.55000000000000004">
      <c r="F197" t="str">
        <f t="shared" si="11"/>
        <v>NA</v>
      </c>
    </row>
    <row r="198" spans="6:6" x14ac:dyDescent="0.55000000000000004">
      <c r="F198" t="str">
        <f t="shared" si="11"/>
        <v>NA</v>
      </c>
    </row>
    <row r="199" spans="6:6" x14ac:dyDescent="0.55000000000000004">
      <c r="F199" t="str">
        <f t="shared" si="11"/>
        <v>NA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9"/>
  <sheetViews>
    <sheetView workbookViewId="0">
      <pane ySplit="8" topLeftCell="A177" activePane="bottomLeft" state="frozen"/>
      <selection pane="bottomLeft" sqref="A1:I1"/>
    </sheetView>
  </sheetViews>
  <sheetFormatPr defaultRowHeight="14.4" x14ac:dyDescent="0.55000000000000004"/>
  <cols>
    <col min="1" max="3" width="14" customWidth="1"/>
    <col min="4" max="4" width="12" customWidth="1"/>
    <col min="5" max="5" width="18" customWidth="1"/>
    <col min="6" max="6" width="10" customWidth="1"/>
    <col min="7" max="8" width="28" customWidth="1"/>
    <col min="9" max="9" width="32" customWidth="1"/>
  </cols>
  <sheetData>
    <row r="1" spans="1:9" x14ac:dyDescent="0.55000000000000004">
      <c r="A1" s="7" t="s">
        <v>21</v>
      </c>
      <c r="B1" s="8"/>
      <c r="C1" s="8"/>
      <c r="D1" s="8"/>
      <c r="E1" s="8"/>
      <c r="F1" s="8"/>
      <c r="G1" s="8"/>
      <c r="H1" s="8"/>
      <c r="I1" s="8"/>
    </row>
    <row r="3" spans="1:9" x14ac:dyDescent="0.55000000000000004">
      <c r="A3" s="1" t="s">
        <v>22</v>
      </c>
    </row>
    <row r="4" spans="1:9" x14ac:dyDescent="0.55000000000000004">
      <c r="A4" t="s">
        <v>23</v>
      </c>
    </row>
    <row r="5" spans="1:9" x14ac:dyDescent="0.55000000000000004">
      <c r="A5" t="s">
        <v>24</v>
      </c>
    </row>
    <row r="8" spans="1:9" x14ac:dyDescent="0.55000000000000004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</row>
    <row r="9" spans="1:9" x14ac:dyDescent="0.55000000000000004">
      <c r="A9" s="3" t="s">
        <v>34</v>
      </c>
      <c r="B9" s="3" t="s">
        <v>35</v>
      </c>
      <c r="C9" s="3" t="s">
        <v>36</v>
      </c>
      <c r="D9" s="3" t="s">
        <v>37</v>
      </c>
      <c r="E9" s="6">
        <v>42967</v>
      </c>
      <c r="F9" s="3">
        <v>10</v>
      </c>
      <c r="G9" s="3" t="s">
        <v>38</v>
      </c>
      <c r="H9" s="3" t="s">
        <v>39</v>
      </c>
      <c r="I9" s="3" t="str">
        <f t="shared" ref="I9:I40" si="0">A9&amp;"|"&amp;B9&amp;"|"&amp;C9&amp;"|"&amp;D9</f>
        <v>MONTH|2017-07|MONTHLY|NA</v>
      </c>
    </row>
    <row r="10" spans="1:9" x14ac:dyDescent="0.55000000000000004">
      <c r="A10" s="3" t="s">
        <v>34</v>
      </c>
      <c r="B10" s="3" t="s">
        <v>40</v>
      </c>
      <c r="C10" s="3" t="s">
        <v>36</v>
      </c>
      <c r="D10" s="3" t="s">
        <v>37</v>
      </c>
      <c r="E10" s="6">
        <v>42998</v>
      </c>
      <c r="F10" s="3">
        <v>10</v>
      </c>
      <c r="G10" s="3" t="s">
        <v>38</v>
      </c>
      <c r="H10" s="3" t="s">
        <v>39</v>
      </c>
      <c r="I10" s="3" t="str">
        <f t="shared" si="0"/>
        <v>MONTH|2017-08|MONTHLY|NA</v>
      </c>
    </row>
    <row r="11" spans="1:9" x14ac:dyDescent="0.55000000000000004">
      <c r="A11" s="3" t="s">
        <v>34</v>
      </c>
      <c r="B11" s="3" t="s">
        <v>41</v>
      </c>
      <c r="C11" s="3" t="s">
        <v>36</v>
      </c>
      <c r="D11" s="3" t="s">
        <v>37</v>
      </c>
      <c r="E11" s="6">
        <v>43028</v>
      </c>
      <c r="F11" s="3">
        <v>10</v>
      </c>
      <c r="G11" s="3" t="s">
        <v>38</v>
      </c>
      <c r="H11" s="3" t="s">
        <v>39</v>
      </c>
      <c r="I11" s="3" t="str">
        <f t="shared" si="0"/>
        <v>MONTH|2017-09|MONTHLY|NA</v>
      </c>
    </row>
    <row r="12" spans="1:9" x14ac:dyDescent="0.55000000000000004">
      <c r="A12" s="3" t="s">
        <v>34</v>
      </c>
      <c r="B12" s="3" t="s">
        <v>42</v>
      </c>
      <c r="C12" s="3" t="s">
        <v>36</v>
      </c>
      <c r="D12" s="3" t="s">
        <v>37</v>
      </c>
      <c r="E12" s="6">
        <v>43059</v>
      </c>
      <c r="F12" s="3">
        <v>10</v>
      </c>
      <c r="G12" s="3" t="s">
        <v>38</v>
      </c>
      <c r="H12" s="3" t="s">
        <v>39</v>
      </c>
      <c r="I12" s="3" t="str">
        <f t="shared" si="0"/>
        <v>MONTH|2017-10|MONTHLY|NA</v>
      </c>
    </row>
    <row r="13" spans="1:9" x14ac:dyDescent="0.55000000000000004">
      <c r="A13" s="3" t="s">
        <v>34</v>
      </c>
      <c r="B13" s="3" t="s">
        <v>43</v>
      </c>
      <c r="C13" s="3" t="s">
        <v>36</v>
      </c>
      <c r="D13" s="3" t="s">
        <v>37</v>
      </c>
      <c r="E13" s="6">
        <v>43089</v>
      </c>
      <c r="F13" s="3">
        <v>10</v>
      </c>
      <c r="G13" s="3" t="s">
        <v>38</v>
      </c>
      <c r="H13" s="3" t="s">
        <v>39</v>
      </c>
      <c r="I13" s="3" t="str">
        <f t="shared" si="0"/>
        <v>MONTH|2017-11|MONTHLY|NA</v>
      </c>
    </row>
    <row r="14" spans="1:9" x14ac:dyDescent="0.55000000000000004">
      <c r="A14" s="3" t="s">
        <v>34</v>
      </c>
      <c r="B14" s="3" t="s">
        <v>44</v>
      </c>
      <c r="C14" s="3" t="s">
        <v>36</v>
      </c>
      <c r="D14" s="3" t="s">
        <v>37</v>
      </c>
      <c r="E14" s="6">
        <v>43120</v>
      </c>
      <c r="F14" s="3">
        <v>10</v>
      </c>
      <c r="G14" s="3" t="s">
        <v>38</v>
      </c>
      <c r="H14" s="3" t="s">
        <v>39</v>
      </c>
      <c r="I14" s="3" t="str">
        <f t="shared" si="0"/>
        <v>MONTH|2017-12|MONTHLY|NA</v>
      </c>
    </row>
    <row r="15" spans="1:9" x14ac:dyDescent="0.55000000000000004">
      <c r="A15" s="3" t="s">
        <v>34</v>
      </c>
      <c r="B15" s="3" t="s">
        <v>45</v>
      </c>
      <c r="C15" s="3" t="s">
        <v>36</v>
      </c>
      <c r="D15" s="3" t="s">
        <v>37</v>
      </c>
      <c r="E15" s="6">
        <v>43151</v>
      </c>
      <c r="F15" s="3">
        <v>10</v>
      </c>
      <c r="G15" s="3" t="s">
        <v>38</v>
      </c>
      <c r="H15" s="3" t="s">
        <v>39</v>
      </c>
      <c r="I15" s="3" t="str">
        <f t="shared" si="0"/>
        <v>MONTH|2018-01|MONTHLY|NA</v>
      </c>
    </row>
    <row r="16" spans="1:9" x14ac:dyDescent="0.55000000000000004">
      <c r="A16" s="3" t="s">
        <v>34</v>
      </c>
      <c r="B16" s="3" t="s">
        <v>46</v>
      </c>
      <c r="C16" s="3" t="s">
        <v>36</v>
      </c>
      <c r="D16" s="3" t="s">
        <v>37</v>
      </c>
      <c r="E16" s="6">
        <v>43179</v>
      </c>
      <c r="F16" s="3">
        <v>10</v>
      </c>
      <c r="G16" s="3" t="s">
        <v>38</v>
      </c>
      <c r="H16" s="3" t="s">
        <v>39</v>
      </c>
      <c r="I16" s="3" t="str">
        <f t="shared" si="0"/>
        <v>MONTH|2018-02|MONTHLY|NA</v>
      </c>
    </row>
    <row r="17" spans="1:9" x14ac:dyDescent="0.55000000000000004">
      <c r="A17" s="3" t="s">
        <v>34</v>
      </c>
      <c r="B17" s="3" t="s">
        <v>47</v>
      </c>
      <c r="C17" s="3" t="s">
        <v>36</v>
      </c>
      <c r="D17" s="3" t="s">
        <v>37</v>
      </c>
      <c r="E17" s="6">
        <v>43210</v>
      </c>
      <c r="F17" s="3">
        <v>10</v>
      </c>
      <c r="G17" s="3" t="s">
        <v>38</v>
      </c>
      <c r="H17" s="3" t="s">
        <v>39</v>
      </c>
      <c r="I17" s="3" t="str">
        <f t="shared" si="0"/>
        <v>MONTH|2018-03|MONTHLY|NA</v>
      </c>
    </row>
    <row r="18" spans="1:9" x14ac:dyDescent="0.55000000000000004">
      <c r="A18" s="3" t="s">
        <v>34</v>
      </c>
      <c r="B18" s="3" t="s">
        <v>48</v>
      </c>
      <c r="C18" s="3" t="s">
        <v>36</v>
      </c>
      <c r="D18" s="3" t="s">
        <v>37</v>
      </c>
      <c r="E18" s="6">
        <v>43240</v>
      </c>
      <c r="F18" s="3">
        <v>10</v>
      </c>
      <c r="G18" s="3" t="s">
        <v>38</v>
      </c>
      <c r="H18" s="3" t="s">
        <v>39</v>
      </c>
      <c r="I18" s="3" t="str">
        <f t="shared" si="0"/>
        <v>MONTH|2018-04|MONTHLY|NA</v>
      </c>
    </row>
    <row r="19" spans="1:9" x14ac:dyDescent="0.55000000000000004">
      <c r="A19" s="3" t="s">
        <v>34</v>
      </c>
      <c r="B19" s="3" t="s">
        <v>49</v>
      </c>
      <c r="C19" s="3" t="s">
        <v>36</v>
      </c>
      <c r="D19" s="3" t="s">
        <v>37</v>
      </c>
      <c r="E19" s="6">
        <v>43271</v>
      </c>
      <c r="F19" s="3">
        <v>10</v>
      </c>
      <c r="G19" s="3" t="s">
        <v>38</v>
      </c>
      <c r="H19" s="3" t="s">
        <v>39</v>
      </c>
      <c r="I19" s="3" t="str">
        <f t="shared" si="0"/>
        <v>MONTH|2018-05|MONTHLY|NA</v>
      </c>
    </row>
    <row r="20" spans="1:9" x14ac:dyDescent="0.55000000000000004">
      <c r="A20" s="3" t="s">
        <v>34</v>
      </c>
      <c r="B20" s="3" t="s">
        <v>50</v>
      </c>
      <c r="C20" s="3" t="s">
        <v>36</v>
      </c>
      <c r="D20" s="3" t="s">
        <v>37</v>
      </c>
      <c r="E20" s="6">
        <v>43301</v>
      </c>
      <c r="F20" s="3">
        <v>10</v>
      </c>
      <c r="G20" s="3" t="s">
        <v>38</v>
      </c>
      <c r="H20" s="3" t="s">
        <v>39</v>
      </c>
      <c r="I20" s="3" t="str">
        <f t="shared" si="0"/>
        <v>MONTH|2018-06|MONTHLY|NA</v>
      </c>
    </row>
    <row r="21" spans="1:9" x14ac:dyDescent="0.55000000000000004">
      <c r="A21" s="3" t="s">
        <v>34</v>
      </c>
      <c r="B21" s="3" t="s">
        <v>51</v>
      </c>
      <c r="C21" s="3" t="s">
        <v>36</v>
      </c>
      <c r="D21" s="3" t="s">
        <v>37</v>
      </c>
      <c r="E21" s="6">
        <v>43332</v>
      </c>
      <c r="F21" s="3">
        <v>10</v>
      </c>
      <c r="G21" s="3" t="s">
        <v>38</v>
      </c>
      <c r="H21" s="3" t="s">
        <v>39</v>
      </c>
      <c r="I21" s="3" t="str">
        <f t="shared" si="0"/>
        <v>MONTH|2018-07|MONTHLY|NA</v>
      </c>
    </row>
    <row r="22" spans="1:9" x14ac:dyDescent="0.55000000000000004">
      <c r="A22" s="3" t="s">
        <v>34</v>
      </c>
      <c r="B22" s="3" t="s">
        <v>52</v>
      </c>
      <c r="C22" s="3" t="s">
        <v>36</v>
      </c>
      <c r="D22" s="3" t="s">
        <v>37</v>
      </c>
      <c r="E22" s="6">
        <v>43363</v>
      </c>
      <c r="F22" s="3">
        <v>10</v>
      </c>
      <c r="G22" s="3" t="s">
        <v>38</v>
      </c>
      <c r="H22" s="3" t="s">
        <v>39</v>
      </c>
      <c r="I22" s="3" t="str">
        <f t="shared" si="0"/>
        <v>MONTH|2018-08|MONTHLY|NA</v>
      </c>
    </row>
    <row r="23" spans="1:9" x14ac:dyDescent="0.55000000000000004">
      <c r="A23" s="3" t="s">
        <v>34</v>
      </c>
      <c r="B23" s="3" t="s">
        <v>53</v>
      </c>
      <c r="C23" s="3" t="s">
        <v>36</v>
      </c>
      <c r="D23" s="3" t="s">
        <v>37</v>
      </c>
      <c r="E23" s="6">
        <v>43393</v>
      </c>
      <c r="F23" s="3">
        <v>10</v>
      </c>
      <c r="G23" s="3" t="s">
        <v>38</v>
      </c>
      <c r="H23" s="3" t="s">
        <v>39</v>
      </c>
      <c r="I23" s="3" t="str">
        <f t="shared" si="0"/>
        <v>MONTH|2018-09|MONTHLY|NA</v>
      </c>
    </row>
    <row r="24" spans="1:9" x14ac:dyDescent="0.55000000000000004">
      <c r="A24" s="3" t="s">
        <v>34</v>
      </c>
      <c r="B24" s="3" t="s">
        <v>54</v>
      </c>
      <c r="C24" s="3" t="s">
        <v>36</v>
      </c>
      <c r="D24" s="3" t="s">
        <v>37</v>
      </c>
      <c r="E24" s="6">
        <v>43424</v>
      </c>
      <c r="F24" s="3">
        <v>10</v>
      </c>
      <c r="G24" s="3" t="s">
        <v>38</v>
      </c>
      <c r="H24" s="3" t="s">
        <v>39</v>
      </c>
      <c r="I24" s="3" t="str">
        <f t="shared" si="0"/>
        <v>MONTH|2018-10|MONTHLY|NA</v>
      </c>
    </row>
    <row r="25" spans="1:9" x14ac:dyDescent="0.55000000000000004">
      <c r="A25" s="3" t="s">
        <v>34</v>
      </c>
      <c r="B25" s="3" t="s">
        <v>55</v>
      </c>
      <c r="C25" s="3" t="s">
        <v>36</v>
      </c>
      <c r="D25" s="3" t="s">
        <v>37</v>
      </c>
      <c r="E25" s="6">
        <v>43454</v>
      </c>
      <c r="F25" s="3">
        <v>10</v>
      </c>
      <c r="G25" s="3" t="s">
        <v>38</v>
      </c>
      <c r="H25" s="3" t="s">
        <v>39</v>
      </c>
      <c r="I25" s="3" t="str">
        <f t="shared" si="0"/>
        <v>MONTH|2018-11|MONTHLY|NA</v>
      </c>
    </row>
    <row r="26" spans="1:9" x14ac:dyDescent="0.55000000000000004">
      <c r="A26" s="3" t="s">
        <v>34</v>
      </c>
      <c r="B26" s="3" t="s">
        <v>56</v>
      </c>
      <c r="C26" s="3" t="s">
        <v>36</v>
      </c>
      <c r="D26" s="3" t="s">
        <v>37</v>
      </c>
      <c r="E26" s="6">
        <v>43485</v>
      </c>
      <c r="F26" s="3">
        <v>10</v>
      </c>
      <c r="G26" s="3" t="s">
        <v>38</v>
      </c>
      <c r="H26" s="3" t="s">
        <v>39</v>
      </c>
      <c r="I26" s="3" t="str">
        <f t="shared" si="0"/>
        <v>MONTH|2018-12|MONTHLY|NA</v>
      </c>
    </row>
    <row r="27" spans="1:9" x14ac:dyDescent="0.55000000000000004">
      <c r="A27" s="3" t="s">
        <v>34</v>
      </c>
      <c r="B27" s="3" t="s">
        <v>57</v>
      </c>
      <c r="C27" s="3" t="s">
        <v>36</v>
      </c>
      <c r="D27" s="3" t="s">
        <v>37</v>
      </c>
      <c r="E27" s="6">
        <v>43516</v>
      </c>
      <c r="F27" s="3">
        <v>10</v>
      </c>
      <c r="G27" s="3" t="s">
        <v>38</v>
      </c>
      <c r="H27" s="3" t="s">
        <v>39</v>
      </c>
      <c r="I27" s="3" t="str">
        <f t="shared" si="0"/>
        <v>MONTH|2019-01|MONTHLY|NA</v>
      </c>
    </row>
    <row r="28" spans="1:9" x14ac:dyDescent="0.55000000000000004">
      <c r="A28" s="3" t="s">
        <v>34</v>
      </c>
      <c r="B28" s="3" t="s">
        <v>58</v>
      </c>
      <c r="C28" s="3" t="s">
        <v>36</v>
      </c>
      <c r="D28" s="3" t="s">
        <v>37</v>
      </c>
      <c r="E28" s="6">
        <v>43544</v>
      </c>
      <c r="F28" s="3">
        <v>10</v>
      </c>
      <c r="G28" s="3" t="s">
        <v>38</v>
      </c>
      <c r="H28" s="3" t="s">
        <v>39</v>
      </c>
      <c r="I28" s="3" t="str">
        <f t="shared" si="0"/>
        <v>MONTH|2019-02|MONTHLY|NA</v>
      </c>
    </row>
    <row r="29" spans="1:9" x14ac:dyDescent="0.55000000000000004">
      <c r="A29" s="3" t="s">
        <v>34</v>
      </c>
      <c r="B29" s="3" t="s">
        <v>59</v>
      </c>
      <c r="C29" s="3" t="s">
        <v>36</v>
      </c>
      <c r="D29" s="3" t="s">
        <v>37</v>
      </c>
      <c r="E29" s="6">
        <v>43575</v>
      </c>
      <c r="F29" s="3">
        <v>10</v>
      </c>
      <c r="G29" s="3" t="s">
        <v>38</v>
      </c>
      <c r="H29" s="3" t="s">
        <v>39</v>
      </c>
      <c r="I29" s="3" t="str">
        <f t="shared" si="0"/>
        <v>MONTH|2019-03|MONTHLY|NA</v>
      </c>
    </row>
    <row r="30" spans="1:9" x14ac:dyDescent="0.55000000000000004">
      <c r="A30" s="3" t="s">
        <v>34</v>
      </c>
      <c r="B30" s="3" t="s">
        <v>60</v>
      </c>
      <c r="C30" s="3" t="s">
        <v>36</v>
      </c>
      <c r="D30" s="3" t="s">
        <v>37</v>
      </c>
      <c r="E30" s="6">
        <v>43605</v>
      </c>
      <c r="F30" s="3">
        <v>10</v>
      </c>
      <c r="G30" s="3" t="s">
        <v>38</v>
      </c>
      <c r="H30" s="3" t="s">
        <v>39</v>
      </c>
      <c r="I30" s="3" t="str">
        <f t="shared" si="0"/>
        <v>MONTH|2019-04|MONTHLY|NA</v>
      </c>
    </row>
    <row r="31" spans="1:9" x14ac:dyDescent="0.55000000000000004">
      <c r="A31" s="3" t="s">
        <v>34</v>
      </c>
      <c r="B31" s="3" t="s">
        <v>61</v>
      </c>
      <c r="C31" s="3" t="s">
        <v>36</v>
      </c>
      <c r="D31" s="3" t="s">
        <v>37</v>
      </c>
      <c r="E31" s="6">
        <v>43636</v>
      </c>
      <c r="F31" s="3">
        <v>10</v>
      </c>
      <c r="G31" s="3" t="s">
        <v>38</v>
      </c>
      <c r="H31" s="3" t="s">
        <v>39</v>
      </c>
      <c r="I31" s="3" t="str">
        <f t="shared" si="0"/>
        <v>MONTH|2019-05|MONTHLY|NA</v>
      </c>
    </row>
    <row r="32" spans="1:9" x14ac:dyDescent="0.55000000000000004">
      <c r="A32" s="3" t="s">
        <v>34</v>
      </c>
      <c r="B32" s="3" t="s">
        <v>62</v>
      </c>
      <c r="C32" s="3" t="s">
        <v>36</v>
      </c>
      <c r="D32" s="3" t="s">
        <v>37</v>
      </c>
      <c r="E32" s="6">
        <v>43666</v>
      </c>
      <c r="F32" s="3">
        <v>10</v>
      </c>
      <c r="G32" s="3" t="s">
        <v>38</v>
      </c>
      <c r="H32" s="3" t="s">
        <v>39</v>
      </c>
      <c r="I32" s="3" t="str">
        <f t="shared" si="0"/>
        <v>MONTH|2019-06|MONTHLY|NA</v>
      </c>
    </row>
    <row r="33" spans="1:9" x14ac:dyDescent="0.55000000000000004">
      <c r="A33" s="3" t="s">
        <v>34</v>
      </c>
      <c r="B33" s="3" t="s">
        <v>63</v>
      </c>
      <c r="C33" s="3" t="s">
        <v>36</v>
      </c>
      <c r="D33" s="3" t="s">
        <v>37</v>
      </c>
      <c r="E33" s="6">
        <v>43697</v>
      </c>
      <c r="F33" s="3">
        <v>10</v>
      </c>
      <c r="G33" s="3" t="s">
        <v>38</v>
      </c>
      <c r="H33" s="3" t="s">
        <v>39</v>
      </c>
      <c r="I33" s="3" t="str">
        <f t="shared" si="0"/>
        <v>MONTH|2019-07|MONTHLY|NA</v>
      </c>
    </row>
    <row r="34" spans="1:9" x14ac:dyDescent="0.55000000000000004">
      <c r="A34" s="3" t="s">
        <v>34</v>
      </c>
      <c r="B34" s="3" t="s">
        <v>64</v>
      </c>
      <c r="C34" s="3" t="s">
        <v>36</v>
      </c>
      <c r="D34" s="3" t="s">
        <v>37</v>
      </c>
      <c r="E34" s="6">
        <v>43728</v>
      </c>
      <c r="F34" s="3">
        <v>10</v>
      </c>
      <c r="G34" s="3" t="s">
        <v>38</v>
      </c>
      <c r="H34" s="3" t="s">
        <v>39</v>
      </c>
      <c r="I34" s="3" t="str">
        <f t="shared" si="0"/>
        <v>MONTH|2019-08|MONTHLY|NA</v>
      </c>
    </row>
    <row r="35" spans="1:9" x14ac:dyDescent="0.55000000000000004">
      <c r="A35" s="3" t="s">
        <v>34</v>
      </c>
      <c r="B35" s="3" t="s">
        <v>65</v>
      </c>
      <c r="C35" s="3" t="s">
        <v>36</v>
      </c>
      <c r="D35" s="3" t="s">
        <v>37</v>
      </c>
      <c r="E35" s="6">
        <v>43758</v>
      </c>
      <c r="F35" s="3">
        <v>10</v>
      </c>
      <c r="G35" s="3" t="s">
        <v>38</v>
      </c>
      <c r="H35" s="3" t="s">
        <v>39</v>
      </c>
      <c r="I35" s="3" t="str">
        <f t="shared" si="0"/>
        <v>MONTH|2019-09|MONTHLY|NA</v>
      </c>
    </row>
    <row r="36" spans="1:9" x14ac:dyDescent="0.55000000000000004">
      <c r="A36" s="3" t="s">
        <v>34</v>
      </c>
      <c r="B36" s="3" t="s">
        <v>66</v>
      </c>
      <c r="C36" s="3" t="s">
        <v>36</v>
      </c>
      <c r="D36" s="3" t="s">
        <v>37</v>
      </c>
      <c r="E36" s="6">
        <v>43789</v>
      </c>
      <c r="F36" s="3">
        <v>10</v>
      </c>
      <c r="G36" s="3" t="s">
        <v>38</v>
      </c>
      <c r="H36" s="3" t="s">
        <v>39</v>
      </c>
      <c r="I36" s="3" t="str">
        <f t="shared" si="0"/>
        <v>MONTH|2019-10|MONTHLY|NA</v>
      </c>
    </row>
    <row r="37" spans="1:9" x14ac:dyDescent="0.55000000000000004">
      <c r="A37" s="3" t="s">
        <v>34</v>
      </c>
      <c r="B37" s="3" t="s">
        <v>67</v>
      </c>
      <c r="C37" s="3" t="s">
        <v>36</v>
      </c>
      <c r="D37" s="3" t="s">
        <v>37</v>
      </c>
      <c r="E37" s="6">
        <v>43819</v>
      </c>
      <c r="F37" s="3">
        <v>10</v>
      </c>
      <c r="G37" s="3" t="s">
        <v>38</v>
      </c>
      <c r="H37" s="3" t="s">
        <v>39</v>
      </c>
      <c r="I37" s="3" t="str">
        <f t="shared" si="0"/>
        <v>MONTH|2019-11|MONTHLY|NA</v>
      </c>
    </row>
    <row r="38" spans="1:9" x14ac:dyDescent="0.55000000000000004">
      <c r="A38" s="3" t="s">
        <v>34</v>
      </c>
      <c r="B38" s="3" t="s">
        <v>68</v>
      </c>
      <c r="C38" s="3" t="s">
        <v>36</v>
      </c>
      <c r="D38" s="3" t="s">
        <v>37</v>
      </c>
      <c r="E38" s="6">
        <v>43850</v>
      </c>
      <c r="F38" s="3">
        <v>10</v>
      </c>
      <c r="G38" s="3" t="s">
        <v>38</v>
      </c>
      <c r="H38" s="3" t="s">
        <v>39</v>
      </c>
      <c r="I38" s="3" t="str">
        <f t="shared" si="0"/>
        <v>MONTH|2019-12|MONTHLY|NA</v>
      </c>
    </row>
    <row r="39" spans="1:9" x14ac:dyDescent="0.55000000000000004">
      <c r="A39" s="3" t="s">
        <v>34</v>
      </c>
      <c r="B39" s="3" t="s">
        <v>69</v>
      </c>
      <c r="C39" s="3" t="s">
        <v>36</v>
      </c>
      <c r="D39" s="3" t="s">
        <v>37</v>
      </c>
      <c r="E39" s="6">
        <v>43881</v>
      </c>
      <c r="F39" s="3">
        <v>10</v>
      </c>
      <c r="G39" s="3" t="s">
        <v>38</v>
      </c>
      <c r="H39" s="3" t="s">
        <v>39</v>
      </c>
      <c r="I39" s="3" t="str">
        <f t="shared" si="0"/>
        <v>MONTH|2020-01|MONTHLY|NA</v>
      </c>
    </row>
    <row r="40" spans="1:9" x14ac:dyDescent="0.55000000000000004">
      <c r="A40" s="3" t="s">
        <v>34</v>
      </c>
      <c r="B40" s="3" t="s">
        <v>70</v>
      </c>
      <c r="C40" s="3" t="s">
        <v>36</v>
      </c>
      <c r="D40" s="3" t="s">
        <v>37</v>
      </c>
      <c r="E40" s="6">
        <v>43910</v>
      </c>
      <c r="F40" s="3">
        <v>10</v>
      </c>
      <c r="G40" s="3" t="s">
        <v>38</v>
      </c>
      <c r="H40" s="3" t="s">
        <v>39</v>
      </c>
      <c r="I40" s="3" t="str">
        <f t="shared" si="0"/>
        <v>MONTH|2020-02|MONTHLY|NA</v>
      </c>
    </row>
    <row r="41" spans="1:9" x14ac:dyDescent="0.55000000000000004">
      <c r="A41" s="3" t="s">
        <v>34</v>
      </c>
      <c r="B41" s="3" t="s">
        <v>71</v>
      </c>
      <c r="C41" s="3" t="s">
        <v>36</v>
      </c>
      <c r="D41" s="3" t="s">
        <v>37</v>
      </c>
      <c r="E41" s="6">
        <v>43941</v>
      </c>
      <c r="F41" s="3">
        <v>10</v>
      </c>
      <c r="G41" s="3" t="s">
        <v>38</v>
      </c>
      <c r="H41" s="3" t="s">
        <v>39</v>
      </c>
      <c r="I41" s="3" t="str">
        <f t="shared" ref="I41:I72" si="1">A41&amp;"|"&amp;B41&amp;"|"&amp;C41&amp;"|"&amp;D41</f>
        <v>MONTH|2020-03|MONTHLY|NA</v>
      </c>
    </row>
    <row r="42" spans="1:9" x14ac:dyDescent="0.55000000000000004">
      <c r="A42" s="3" t="s">
        <v>34</v>
      </c>
      <c r="B42" s="3" t="s">
        <v>72</v>
      </c>
      <c r="C42" s="3" t="s">
        <v>36</v>
      </c>
      <c r="D42" s="3" t="s">
        <v>37</v>
      </c>
      <c r="E42" s="6">
        <v>43971</v>
      </c>
      <c r="F42" s="3">
        <v>10</v>
      </c>
      <c r="G42" s="3" t="s">
        <v>38</v>
      </c>
      <c r="H42" s="3" t="s">
        <v>39</v>
      </c>
      <c r="I42" s="3" t="str">
        <f t="shared" si="1"/>
        <v>MONTH|2020-04|MONTHLY|NA</v>
      </c>
    </row>
    <row r="43" spans="1:9" x14ac:dyDescent="0.55000000000000004">
      <c r="A43" s="3" t="s">
        <v>34</v>
      </c>
      <c r="B43" s="3" t="s">
        <v>73</v>
      </c>
      <c r="C43" s="3" t="s">
        <v>36</v>
      </c>
      <c r="D43" s="3" t="s">
        <v>37</v>
      </c>
      <c r="E43" s="6">
        <v>44002</v>
      </c>
      <c r="F43" s="3">
        <v>10</v>
      </c>
      <c r="G43" s="3" t="s">
        <v>38</v>
      </c>
      <c r="H43" s="3" t="s">
        <v>39</v>
      </c>
      <c r="I43" s="3" t="str">
        <f t="shared" si="1"/>
        <v>MONTH|2020-05|MONTHLY|NA</v>
      </c>
    </row>
    <row r="44" spans="1:9" x14ac:dyDescent="0.55000000000000004">
      <c r="A44" s="3" t="s">
        <v>34</v>
      </c>
      <c r="B44" s="3" t="s">
        <v>74</v>
      </c>
      <c r="C44" s="3" t="s">
        <v>36</v>
      </c>
      <c r="D44" s="3" t="s">
        <v>37</v>
      </c>
      <c r="E44" s="6">
        <v>44032</v>
      </c>
      <c r="F44" s="3">
        <v>10</v>
      </c>
      <c r="G44" s="3" t="s">
        <v>38</v>
      </c>
      <c r="H44" s="3" t="s">
        <v>39</v>
      </c>
      <c r="I44" s="3" t="str">
        <f t="shared" si="1"/>
        <v>MONTH|2020-06|MONTHLY|NA</v>
      </c>
    </row>
    <row r="45" spans="1:9" x14ac:dyDescent="0.55000000000000004">
      <c r="A45" s="3" t="s">
        <v>34</v>
      </c>
      <c r="B45" s="3" t="s">
        <v>75</v>
      </c>
      <c r="C45" s="3" t="s">
        <v>36</v>
      </c>
      <c r="D45" s="3" t="s">
        <v>37</v>
      </c>
      <c r="E45" s="6">
        <v>44063</v>
      </c>
      <c r="F45" s="3">
        <v>10</v>
      </c>
      <c r="G45" s="3" t="s">
        <v>38</v>
      </c>
      <c r="H45" s="3" t="s">
        <v>39</v>
      </c>
      <c r="I45" s="3" t="str">
        <f t="shared" si="1"/>
        <v>MONTH|2020-07|MONTHLY|NA</v>
      </c>
    </row>
    <row r="46" spans="1:9" x14ac:dyDescent="0.55000000000000004">
      <c r="A46" s="3" t="s">
        <v>34</v>
      </c>
      <c r="B46" s="3" t="s">
        <v>76</v>
      </c>
      <c r="C46" s="3" t="s">
        <v>36</v>
      </c>
      <c r="D46" s="3" t="s">
        <v>37</v>
      </c>
      <c r="E46" s="6">
        <v>44094</v>
      </c>
      <c r="F46" s="3">
        <v>10</v>
      </c>
      <c r="G46" s="3" t="s">
        <v>38</v>
      </c>
      <c r="H46" s="3" t="s">
        <v>39</v>
      </c>
      <c r="I46" s="3" t="str">
        <f t="shared" si="1"/>
        <v>MONTH|2020-08|MONTHLY|NA</v>
      </c>
    </row>
    <row r="47" spans="1:9" x14ac:dyDescent="0.55000000000000004">
      <c r="A47" s="3" t="s">
        <v>34</v>
      </c>
      <c r="B47" s="3" t="s">
        <v>77</v>
      </c>
      <c r="C47" s="3" t="s">
        <v>36</v>
      </c>
      <c r="D47" s="3" t="s">
        <v>37</v>
      </c>
      <c r="E47" s="6">
        <v>44124</v>
      </c>
      <c r="F47" s="3">
        <v>10</v>
      </c>
      <c r="G47" s="3" t="s">
        <v>38</v>
      </c>
      <c r="H47" s="3" t="s">
        <v>39</v>
      </c>
      <c r="I47" s="3" t="str">
        <f t="shared" si="1"/>
        <v>MONTH|2020-09|MONTHLY|NA</v>
      </c>
    </row>
    <row r="48" spans="1:9" x14ac:dyDescent="0.55000000000000004">
      <c r="A48" s="3" t="s">
        <v>34</v>
      </c>
      <c r="B48" s="3" t="s">
        <v>78</v>
      </c>
      <c r="C48" s="3" t="s">
        <v>36</v>
      </c>
      <c r="D48" s="3" t="s">
        <v>37</v>
      </c>
      <c r="E48" s="6">
        <v>44155</v>
      </c>
      <c r="F48" s="3">
        <v>10</v>
      </c>
      <c r="G48" s="3" t="s">
        <v>38</v>
      </c>
      <c r="H48" s="3" t="s">
        <v>39</v>
      </c>
      <c r="I48" s="3" t="str">
        <f t="shared" si="1"/>
        <v>MONTH|2020-10|MONTHLY|NA</v>
      </c>
    </row>
    <row r="49" spans="1:9" x14ac:dyDescent="0.55000000000000004">
      <c r="A49" s="3" t="s">
        <v>34</v>
      </c>
      <c r="B49" s="3" t="s">
        <v>79</v>
      </c>
      <c r="C49" s="3" t="s">
        <v>36</v>
      </c>
      <c r="D49" s="3" t="s">
        <v>37</v>
      </c>
      <c r="E49" s="6">
        <v>44185</v>
      </c>
      <c r="F49" s="3">
        <v>10</v>
      </c>
      <c r="G49" s="3" t="s">
        <v>38</v>
      </c>
      <c r="H49" s="3" t="s">
        <v>39</v>
      </c>
      <c r="I49" s="3" t="str">
        <f t="shared" si="1"/>
        <v>MONTH|2020-11|MONTHLY|NA</v>
      </c>
    </row>
    <row r="50" spans="1:9" x14ac:dyDescent="0.55000000000000004">
      <c r="A50" s="3" t="s">
        <v>34</v>
      </c>
      <c r="B50" s="3" t="s">
        <v>80</v>
      </c>
      <c r="C50" s="3" t="s">
        <v>36</v>
      </c>
      <c r="D50" s="3" t="s">
        <v>37</v>
      </c>
      <c r="E50" s="6">
        <v>44216</v>
      </c>
      <c r="F50" s="3">
        <v>10</v>
      </c>
      <c r="G50" s="3" t="s">
        <v>38</v>
      </c>
      <c r="H50" s="3" t="s">
        <v>39</v>
      </c>
      <c r="I50" s="3" t="str">
        <f t="shared" si="1"/>
        <v>MONTH|2020-12|MONTHLY|NA</v>
      </c>
    </row>
    <row r="51" spans="1:9" x14ac:dyDescent="0.55000000000000004">
      <c r="A51" s="3" t="s">
        <v>34</v>
      </c>
      <c r="B51" s="3" t="s">
        <v>81</v>
      </c>
      <c r="C51" s="3" t="s">
        <v>36</v>
      </c>
      <c r="D51" s="3" t="s">
        <v>37</v>
      </c>
      <c r="E51" s="6">
        <v>44247</v>
      </c>
      <c r="F51" s="3">
        <v>10</v>
      </c>
      <c r="G51" s="3" t="s">
        <v>38</v>
      </c>
      <c r="H51" s="3" t="s">
        <v>39</v>
      </c>
      <c r="I51" s="3" t="str">
        <f t="shared" si="1"/>
        <v>MONTH|2021-01|MONTHLY|NA</v>
      </c>
    </row>
    <row r="52" spans="1:9" x14ac:dyDescent="0.55000000000000004">
      <c r="A52" s="3" t="s">
        <v>34</v>
      </c>
      <c r="B52" s="3" t="s">
        <v>82</v>
      </c>
      <c r="C52" s="3" t="s">
        <v>36</v>
      </c>
      <c r="D52" s="3" t="s">
        <v>37</v>
      </c>
      <c r="E52" s="6">
        <v>44275</v>
      </c>
      <c r="F52" s="3">
        <v>10</v>
      </c>
      <c r="G52" s="3" t="s">
        <v>38</v>
      </c>
      <c r="H52" s="3" t="s">
        <v>39</v>
      </c>
      <c r="I52" s="3" t="str">
        <f t="shared" si="1"/>
        <v>MONTH|2021-02|MONTHLY|NA</v>
      </c>
    </row>
    <row r="53" spans="1:9" x14ac:dyDescent="0.55000000000000004">
      <c r="A53" s="3" t="s">
        <v>34</v>
      </c>
      <c r="B53" s="3" t="s">
        <v>83</v>
      </c>
      <c r="C53" s="3" t="s">
        <v>36</v>
      </c>
      <c r="D53" s="3" t="s">
        <v>37</v>
      </c>
      <c r="E53" s="6">
        <v>44306</v>
      </c>
      <c r="F53" s="3">
        <v>10</v>
      </c>
      <c r="G53" s="3" t="s">
        <v>38</v>
      </c>
      <c r="H53" s="3" t="s">
        <v>39</v>
      </c>
      <c r="I53" s="3" t="str">
        <f t="shared" si="1"/>
        <v>MONTH|2021-03|MONTHLY|NA</v>
      </c>
    </row>
    <row r="54" spans="1:9" x14ac:dyDescent="0.55000000000000004">
      <c r="A54" s="3" t="s">
        <v>34</v>
      </c>
      <c r="B54" s="3" t="s">
        <v>84</v>
      </c>
      <c r="C54" s="3" t="s">
        <v>36</v>
      </c>
      <c r="D54" s="3" t="s">
        <v>37</v>
      </c>
      <c r="E54" s="6">
        <v>44336</v>
      </c>
      <c r="F54" s="3">
        <v>10</v>
      </c>
      <c r="G54" s="3" t="s">
        <v>38</v>
      </c>
      <c r="H54" s="3" t="s">
        <v>39</v>
      </c>
      <c r="I54" s="3" t="str">
        <f t="shared" si="1"/>
        <v>MONTH|2021-04|MONTHLY|NA</v>
      </c>
    </row>
    <row r="55" spans="1:9" x14ac:dyDescent="0.55000000000000004">
      <c r="A55" s="3" t="s">
        <v>34</v>
      </c>
      <c r="B55" s="3" t="s">
        <v>85</v>
      </c>
      <c r="C55" s="3" t="s">
        <v>36</v>
      </c>
      <c r="D55" s="3" t="s">
        <v>37</v>
      </c>
      <c r="E55" s="6">
        <v>44367</v>
      </c>
      <c r="F55" s="3">
        <v>10</v>
      </c>
      <c r="G55" s="3" t="s">
        <v>38</v>
      </c>
      <c r="H55" s="3" t="s">
        <v>39</v>
      </c>
      <c r="I55" s="3" t="str">
        <f t="shared" si="1"/>
        <v>MONTH|2021-05|MONTHLY|NA</v>
      </c>
    </row>
    <row r="56" spans="1:9" x14ac:dyDescent="0.55000000000000004">
      <c r="A56" s="3" t="s">
        <v>34</v>
      </c>
      <c r="B56" s="3" t="s">
        <v>86</v>
      </c>
      <c r="C56" s="3" t="s">
        <v>36</v>
      </c>
      <c r="D56" s="3" t="s">
        <v>37</v>
      </c>
      <c r="E56" s="6">
        <v>44397</v>
      </c>
      <c r="F56" s="3">
        <v>10</v>
      </c>
      <c r="G56" s="3" t="s">
        <v>38</v>
      </c>
      <c r="H56" s="3" t="s">
        <v>39</v>
      </c>
      <c r="I56" s="3" t="str">
        <f t="shared" si="1"/>
        <v>MONTH|2021-06|MONTHLY|NA</v>
      </c>
    </row>
    <row r="57" spans="1:9" x14ac:dyDescent="0.55000000000000004">
      <c r="A57" s="3" t="s">
        <v>34</v>
      </c>
      <c r="B57" s="3" t="s">
        <v>87</v>
      </c>
      <c r="C57" s="3" t="s">
        <v>36</v>
      </c>
      <c r="D57" s="3" t="s">
        <v>37</v>
      </c>
      <c r="E57" s="6">
        <v>44428</v>
      </c>
      <c r="F57" s="3">
        <v>10</v>
      </c>
      <c r="G57" s="3" t="s">
        <v>38</v>
      </c>
      <c r="H57" s="3" t="s">
        <v>39</v>
      </c>
      <c r="I57" s="3" t="str">
        <f t="shared" si="1"/>
        <v>MONTH|2021-07|MONTHLY|NA</v>
      </c>
    </row>
    <row r="58" spans="1:9" x14ac:dyDescent="0.55000000000000004">
      <c r="A58" s="3" t="s">
        <v>34</v>
      </c>
      <c r="B58" s="3" t="s">
        <v>88</v>
      </c>
      <c r="C58" s="3" t="s">
        <v>36</v>
      </c>
      <c r="D58" s="3" t="s">
        <v>37</v>
      </c>
      <c r="E58" s="6">
        <v>44459</v>
      </c>
      <c r="F58" s="3">
        <v>10</v>
      </c>
      <c r="G58" s="3" t="s">
        <v>38</v>
      </c>
      <c r="H58" s="3" t="s">
        <v>39</v>
      </c>
      <c r="I58" s="3" t="str">
        <f t="shared" si="1"/>
        <v>MONTH|2021-08|MONTHLY|NA</v>
      </c>
    </row>
    <row r="59" spans="1:9" x14ac:dyDescent="0.55000000000000004">
      <c r="A59" s="3" t="s">
        <v>34</v>
      </c>
      <c r="B59" s="3" t="s">
        <v>89</v>
      </c>
      <c r="C59" s="3" t="s">
        <v>36</v>
      </c>
      <c r="D59" s="3" t="s">
        <v>37</v>
      </c>
      <c r="E59" s="6">
        <v>44489</v>
      </c>
      <c r="F59" s="3">
        <v>10</v>
      </c>
      <c r="G59" s="3" t="s">
        <v>38</v>
      </c>
      <c r="H59" s="3" t="s">
        <v>39</v>
      </c>
      <c r="I59" s="3" t="str">
        <f t="shared" si="1"/>
        <v>MONTH|2021-09|MONTHLY|NA</v>
      </c>
    </row>
    <row r="60" spans="1:9" x14ac:dyDescent="0.55000000000000004">
      <c r="A60" s="3" t="s">
        <v>34</v>
      </c>
      <c r="B60" s="3" t="s">
        <v>90</v>
      </c>
      <c r="C60" s="3" t="s">
        <v>36</v>
      </c>
      <c r="D60" s="3" t="s">
        <v>37</v>
      </c>
      <c r="E60" s="6">
        <v>44520</v>
      </c>
      <c r="F60" s="3">
        <v>10</v>
      </c>
      <c r="G60" s="3" t="s">
        <v>38</v>
      </c>
      <c r="H60" s="3" t="s">
        <v>39</v>
      </c>
      <c r="I60" s="3" t="str">
        <f t="shared" si="1"/>
        <v>MONTH|2021-10|MONTHLY|NA</v>
      </c>
    </row>
    <row r="61" spans="1:9" x14ac:dyDescent="0.55000000000000004">
      <c r="A61" s="3" t="s">
        <v>34</v>
      </c>
      <c r="B61" s="3" t="s">
        <v>91</v>
      </c>
      <c r="C61" s="3" t="s">
        <v>36</v>
      </c>
      <c r="D61" s="3" t="s">
        <v>37</v>
      </c>
      <c r="E61" s="6">
        <v>44550</v>
      </c>
      <c r="F61" s="3">
        <v>10</v>
      </c>
      <c r="G61" s="3" t="s">
        <v>38</v>
      </c>
      <c r="H61" s="3" t="s">
        <v>39</v>
      </c>
      <c r="I61" s="3" t="str">
        <f t="shared" si="1"/>
        <v>MONTH|2021-11|MONTHLY|NA</v>
      </c>
    </row>
    <row r="62" spans="1:9" x14ac:dyDescent="0.55000000000000004">
      <c r="A62" s="3" t="s">
        <v>34</v>
      </c>
      <c r="B62" s="3" t="s">
        <v>92</v>
      </c>
      <c r="C62" s="3" t="s">
        <v>36</v>
      </c>
      <c r="D62" s="3" t="s">
        <v>37</v>
      </c>
      <c r="E62" s="6">
        <v>44581</v>
      </c>
      <c r="F62" s="3">
        <v>10</v>
      </c>
      <c r="G62" s="3" t="s">
        <v>38</v>
      </c>
      <c r="H62" s="3" t="s">
        <v>39</v>
      </c>
      <c r="I62" s="3" t="str">
        <f t="shared" si="1"/>
        <v>MONTH|2021-12|MONTHLY|NA</v>
      </c>
    </row>
    <row r="63" spans="1:9" x14ac:dyDescent="0.55000000000000004">
      <c r="A63" s="3" t="s">
        <v>34</v>
      </c>
      <c r="B63" s="3" t="s">
        <v>93</v>
      </c>
      <c r="C63" s="3" t="s">
        <v>36</v>
      </c>
      <c r="D63" s="3" t="s">
        <v>37</v>
      </c>
      <c r="E63" s="6">
        <v>44612</v>
      </c>
      <c r="F63" s="3">
        <v>10</v>
      </c>
      <c r="G63" s="3" t="s">
        <v>38</v>
      </c>
      <c r="H63" s="3" t="s">
        <v>39</v>
      </c>
      <c r="I63" s="3" t="str">
        <f t="shared" si="1"/>
        <v>MONTH|2022-01|MONTHLY|NA</v>
      </c>
    </row>
    <row r="64" spans="1:9" x14ac:dyDescent="0.55000000000000004">
      <c r="A64" s="3" t="s">
        <v>34</v>
      </c>
      <c r="B64" s="3" t="s">
        <v>94</v>
      </c>
      <c r="C64" s="3" t="s">
        <v>36</v>
      </c>
      <c r="D64" s="3" t="s">
        <v>37</v>
      </c>
      <c r="E64" s="6">
        <v>44640</v>
      </c>
      <c r="F64" s="3">
        <v>10</v>
      </c>
      <c r="G64" s="3" t="s">
        <v>38</v>
      </c>
      <c r="H64" s="3" t="s">
        <v>39</v>
      </c>
      <c r="I64" s="3" t="str">
        <f t="shared" si="1"/>
        <v>MONTH|2022-02|MONTHLY|NA</v>
      </c>
    </row>
    <row r="65" spans="1:9" x14ac:dyDescent="0.55000000000000004">
      <c r="A65" s="3" t="s">
        <v>34</v>
      </c>
      <c r="B65" s="3" t="s">
        <v>95</v>
      </c>
      <c r="C65" s="3" t="s">
        <v>36</v>
      </c>
      <c r="D65" s="3" t="s">
        <v>37</v>
      </c>
      <c r="E65" s="6">
        <v>44671</v>
      </c>
      <c r="F65" s="3">
        <v>10</v>
      </c>
      <c r="G65" s="3" t="s">
        <v>38</v>
      </c>
      <c r="H65" s="3" t="s">
        <v>39</v>
      </c>
      <c r="I65" s="3" t="str">
        <f t="shared" si="1"/>
        <v>MONTH|2022-03|MONTHLY|NA</v>
      </c>
    </row>
    <row r="66" spans="1:9" x14ac:dyDescent="0.55000000000000004">
      <c r="A66" s="3" t="s">
        <v>34</v>
      </c>
      <c r="B66" s="3" t="s">
        <v>96</v>
      </c>
      <c r="C66" s="3" t="s">
        <v>36</v>
      </c>
      <c r="D66" s="3" t="s">
        <v>37</v>
      </c>
      <c r="E66" s="6">
        <v>44701</v>
      </c>
      <c r="F66" s="3">
        <v>10</v>
      </c>
      <c r="G66" s="3" t="s">
        <v>38</v>
      </c>
      <c r="H66" s="3" t="s">
        <v>39</v>
      </c>
      <c r="I66" s="3" t="str">
        <f t="shared" si="1"/>
        <v>MONTH|2022-04|MONTHLY|NA</v>
      </c>
    </row>
    <row r="67" spans="1:9" x14ac:dyDescent="0.55000000000000004">
      <c r="A67" s="3" t="s">
        <v>34</v>
      </c>
      <c r="B67" s="3" t="s">
        <v>97</v>
      </c>
      <c r="C67" s="3" t="s">
        <v>36</v>
      </c>
      <c r="D67" s="3" t="s">
        <v>37</v>
      </c>
      <c r="E67" s="6">
        <v>44732</v>
      </c>
      <c r="F67" s="3">
        <v>10</v>
      </c>
      <c r="G67" s="3" t="s">
        <v>38</v>
      </c>
      <c r="H67" s="3" t="s">
        <v>39</v>
      </c>
      <c r="I67" s="3" t="str">
        <f t="shared" si="1"/>
        <v>MONTH|2022-05|MONTHLY|NA</v>
      </c>
    </row>
    <row r="68" spans="1:9" x14ac:dyDescent="0.55000000000000004">
      <c r="A68" s="3" t="s">
        <v>34</v>
      </c>
      <c r="B68" s="3" t="s">
        <v>98</v>
      </c>
      <c r="C68" s="3" t="s">
        <v>36</v>
      </c>
      <c r="D68" s="3" t="s">
        <v>37</v>
      </c>
      <c r="E68" s="6">
        <v>44762</v>
      </c>
      <c r="F68" s="3">
        <v>10</v>
      </c>
      <c r="G68" s="3" t="s">
        <v>38</v>
      </c>
      <c r="H68" s="3" t="s">
        <v>39</v>
      </c>
      <c r="I68" s="3" t="str">
        <f t="shared" si="1"/>
        <v>MONTH|2022-06|MONTHLY|NA</v>
      </c>
    </row>
    <row r="69" spans="1:9" x14ac:dyDescent="0.55000000000000004">
      <c r="A69" s="3" t="s">
        <v>34</v>
      </c>
      <c r="B69" s="3" t="s">
        <v>99</v>
      </c>
      <c r="C69" s="3" t="s">
        <v>36</v>
      </c>
      <c r="D69" s="3" t="s">
        <v>37</v>
      </c>
      <c r="E69" s="6">
        <v>44793</v>
      </c>
      <c r="F69" s="3">
        <v>10</v>
      </c>
      <c r="G69" s="3" t="s">
        <v>38</v>
      </c>
      <c r="H69" s="3" t="s">
        <v>39</v>
      </c>
      <c r="I69" s="3" t="str">
        <f t="shared" si="1"/>
        <v>MONTH|2022-07|MONTHLY|NA</v>
      </c>
    </row>
    <row r="70" spans="1:9" x14ac:dyDescent="0.55000000000000004">
      <c r="A70" s="3" t="s">
        <v>34</v>
      </c>
      <c r="B70" s="3" t="s">
        <v>100</v>
      </c>
      <c r="C70" s="3" t="s">
        <v>36</v>
      </c>
      <c r="D70" s="3" t="s">
        <v>37</v>
      </c>
      <c r="E70" s="6">
        <v>44824</v>
      </c>
      <c r="F70" s="3">
        <v>10</v>
      </c>
      <c r="G70" s="3" t="s">
        <v>38</v>
      </c>
      <c r="H70" s="3" t="s">
        <v>39</v>
      </c>
      <c r="I70" s="3" t="str">
        <f t="shared" si="1"/>
        <v>MONTH|2022-08|MONTHLY|NA</v>
      </c>
    </row>
    <row r="71" spans="1:9" x14ac:dyDescent="0.55000000000000004">
      <c r="A71" s="3" t="s">
        <v>34</v>
      </c>
      <c r="B71" s="3" t="s">
        <v>101</v>
      </c>
      <c r="C71" s="3" t="s">
        <v>36</v>
      </c>
      <c r="D71" s="3" t="s">
        <v>37</v>
      </c>
      <c r="E71" s="6">
        <v>44854</v>
      </c>
      <c r="F71" s="3">
        <v>10</v>
      </c>
      <c r="G71" s="3" t="s">
        <v>38</v>
      </c>
      <c r="H71" s="3" t="s">
        <v>39</v>
      </c>
      <c r="I71" s="3" t="str">
        <f t="shared" si="1"/>
        <v>MONTH|2022-09|MONTHLY|NA</v>
      </c>
    </row>
    <row r="72" spans="1:9" x14ac:dyDescent="0.55000000000000004">
      <c r="A72" s="3" t="s">
        <v>34</v>
      </c>
      <c r="B72" s="3" t="s">
        <v>102</v>
      </c>
      <c r="C72" s="3" t="s">
        <v>36</v>
      </c>
      <c r="D72" s="3" t="s">
        <v>37</v>
      </c>
      <c r="E72" s="6">
        <v>44885</v>
      </c>
      <c r="F72" s="3">
        <v>10</v>
      </c>
      <c r="G72" s="3" t="s">
        <v>38</v>
      </c>
      <c r="H72" s="3" t="s">
        <v>39</v>
      </c>
      <c r="I72" s="3" t="str">
        <f t="shared" si="1"/>
        <v>MONTH|2022-10|MONTHLY|NA</v>
      </c>
    </row>
    <row r="73" spans="1:9" x14ac:dyDescent="0.55000000000000004">
      <c r="A73" s="3" t="s">
        <v>34</v>
      </c>
      <c r="B73" s="3" t="s">
        <v>103</v>
      </c>
      <c r="C73" s="3" t="s">
        <v>36</v>
      </c>
      <c r="D73" s="3" t="s">
        <v>37</v>
      </c>
      <c r="E73" s="6">
        <v>44915</v>
      </c>
      <c r="F73" s="3">
        <v>10</v>
      </c>
      <c r="G73" s="3" t="s">
        <v>38</v>
      </c>
      <c r="H73" s="3" t="s">
        <v>39</v>
      </c>
      <c r="I73" s="3" t="str">
        <f t="shared" ref="I73:I104" si="2">A73&amp;"|"&amp;B73&amp;"|"&amp;C73&amp;"|"&amp;D73</f>
        <v>MONTH|2022-11|MONTHLY|NA</v>
      </c>
    </row>
    <row r="74" spans="1:9" x14ac:dyDescent="0.55000000000000004">
      <c r="A74" s="3" t="s">
        <v>34</v>
      </c>
      <c r="B74" s="3" t="s">
        <v>104</v>
      </c>
      <c r="C74" s="3" t="s">
        <v>36</v>
      </c>
      <c r="D74" s="3" t="s">
        <v>37</v>
      </c>
      <c r="E74" s="6">
        <v>44946</v>
      </c>
      <c r="F74" s="3">
        <v>10</v>
      </c>
      <c r="G74" s="3" t="s">
        <v>38</v>
      </c>
      <c r="H74" s="3" t="s">
        <v>39</v>
      </c>
      <c r="I74" s="3" t="str">
        <f t="shared" si="2"/>
        <v>MONTH|2022-12|MONTHLY|NA</v>
      </c>
    </row>
    <row r="75" spans="1:9" x14ac:dyDescent="0.55000000000000004">
      <c r="A75" s="3" t="s">
        <v>34</v>
      </c>
      <c r="B75" s="3" t="s">
        <v>105</v>
      </c>
      <c r="C75" s="3" t="s">
        <v>36</v>
      </c>
      <c r="D75" s="3" t="s">
        <v>37</v>
      </c>
      <c r="E75" s="6">
        <v>44977</v>
      </c>
      <c r="F75" s="3">
        <v>10</v>
      </c>
      <c r="G75" s="3" t="s">
        <v>38</v>
      </c>
      <c r="H75" s="3" t="s">
        <v>39</v>
      </c>
      <c r="I75" s="3" t="str">
        <f t="shared" si="2"/>
        <v>MONTH|2023-01|MONTHLY|NA</v>
      </c>
    </row>
    <row r="76" spans="1:9" x14ac:dyDescent="0.55000000000000004">
      <c r="A76" s="3" t="s">
        <v>34</v>
      </c>
      <c r="B76" s="3" t="s">
        <v>106</v>
      </c>
      <c r="C76" s="3" t="s">
        <v>36</v>
      </c>
      <c r="D76" s="3" t="s">
        <v>37</v>
      </c>
      <c r="E76" s="6">
        <v>45005</v>
      </c>
      <c r="F76" s="3">
        <v>10</v>
      </c>
      <c r="G76" s="3" t="s">
        <v>38</v>
      </c>
      <c r="H76" s="3" t="s">
        <v>39</v>
      </c>
      <c r="I76" s="3" t="str">
        <f t="shared" si="2"/>
        <v>MONTH|2023-02|MONTHLY|NA</v>
      </c>
    </row>
    <row r="77" spans="1:9" x14ac:dyDescent="0.55000000000000004">
      <c r="A77" s="3" t="s">
        <v>34</v>
      </c>
      <c r="B77" s="3" t="s">
        <v>107</v>
      </c>
      <c r="C77" s="3" t="s">
        <v>36</v>
      </c>
      <c r="D77" s="3" t="s">
        <v>37</v>
      </c>
      <c r="E77" s="6">
        <v>45036</v>
      </c>
      <c r="F77" s="3">
        <v>10</v>
      </c>
      <c r="G77" s="3" t="s">
        <v>38</v>
      </c>
      <c r="H77" s="3" t="s">
        <v>39</v>
      </c>
      <c r="I77" s="3" t="str">
        <f t="shared" si="2"/>
        <v>MONTH|2023-03|MONTHLY|NA</v>
      </c>
    </row>
    <row r="78" spans="1:9" x14ac:dyDescent="0.55000000000000004">
      <c r="A78" s="3" t="s">
        <v>34</v>
      </c>
      <c r="B78" s="3" t="s">
        <v>108</v>
      </c>
      <c r="C78" s="3" t="s">
        <v>36</v>
      </c>
      <c r="D78" s="3" t="s">
        <v>37</v>
      </c>
      <c r="E78" s="6">
        <v>45066</v>
      </c>
      <c r="F78" s="3">
        <v>10</v>
      </c>
      <c r="G78" s="3" t="s">
        <v>38</v>
      </c>
      <c r="H78" s="3" t="s">
        <v>39</v>
      </c>
      <c r="I78" s="3" t="str">
        <f t="shared" si="2"/>
        <v>MONTH|2023-04|MONTHLY|NA</v>
      </c>
    </row>
    <row r="79" spans="1:9" x14ac:dyDescent="0.55000000000000004">
      <c r="A79" s="3" t="s">
        <v>34</v>
      </c>
      <c r="B79" s="3" t="s">
        <v>109</v>
      </c>
      <c r="C79" s="3" t="s">
        <v>36</v>
      </c>
      <c r="D79" s="3" t="s">
        <v>37</v>
      </c>
      <c r="E79" s="6">
        <v>45097</v>
      </c>
      <c r="F79" s="3">
        <v>10</v>
      </c>
      <c r="G79" s="3" t="s">
        <v>38</v>
      </c>
      <c r="H79" s="3" t="s">
        <v>39</v>
      </c>
      <c r="I79" s="3" t="str">
        <f t="shared" si="2"/>
        <v>MONTH|2023-05|MONTHLY|NA</v>
      </c>
    </row>
    <row r="80" spans="1:9" x14ac:dyDescent="0.55000000000000004">
      <c r="A80" s="3" t="s">
        <v>34</v>
      </c>
      <c r="B80" s="3" t="s">
        <v>110</v>
      </c>
      <c r="C80" s="3" t="s">
        <v>36</v>
      </c>
      <c r="D80" s="3" t="s">
        <v>37</v>
      </c>
      <c r="E80" s="6">
        <v>45127</v>
      </c>
      <c r="F80" s="3">
        <v>10</v>
      </c>
      <c r="G80" s="3" t="s">
        <v>38</v>
      </c>
      <c r="H80" s="3" t="s">
        <v>39</v>
      </c>
      <c r="I80" s="3" t="str">
        <f t="shared" si="2"/>
        <v>MONTH|2023-06|MONTHLY|NA</v>
      </c>
    </row>
    <row r="81" spans="1:9" x14ac:dyDescent="0.55000000000000004">
      <c r="A81" s="3" t="s">
        <v>34</v>
      </c>
      <c r="B81" s="3" t="s">
        <v>111</v>
      </c>
      <c r="C81" s="3" t="s">
        <v>36</v>
      </c>
      <c r="D81" s="3" t="s">
        <v>37</v>
      </c>
      <c r="E81" s="6">
        <v>45158</v>
      </c>
      <c r="F81" s="3">
        <v>10</v>
      </c>
      <c r="G81" s="3" t="s">
        <v>38</v>
      </c>
      <c r="H81" s="3" t="s">
        <v>39</v>
      </c>
      <c r="I81" s="3" t="str">
        <f t="shared" si="2"/>
        <v>MONTH|2023-07|MONTHLY|NA</v>
      </c>
    </row>
    <row r="82" spans="1:9" x14ac:dyDescent="0.55000000000000004">
      <c r="A82" s="3" t="s">
        <v>34</v>
      </c>
      <c r="B82" s="3" t="s">
        <v>112</v>
      </c>
      <c r="C82" s="3" t="s">
        <v>36</v>
      </c>
      <c r="D82" s="3" t="s">
        <v>37</v>
      </c>
      <c r="E82" s="6">
        <v>45189</v>
      </c>
      <c r="F82" s="3">
        <v>10</v>
      </c>
      <c r="G82" s="3" t="s">
        <v>38</v>
      </c>
      <c r="H82" s="3" t="s">
        <v>39</v>
      </c>
      <c r="I82" s="3" t="str">
        <f t="shared" si="2"/>
        <v>MONTH|2023-08|MONTHLY|NA</v>
      </c>
    </row>
    <row r="83" spans="1:9" x14ac:dyDescent="0.55000000000000004">
      <c r="A83" s="3" t="s">
        <v>34</v>
      </c>
      <c r="B83" s="3" t="s">
        <v>113</v>
      </c>
      <c r="C83" s="3" t="s">
        <v>36</v>
      </c>
      <c r="D83" s="3" t="s">
        <v>37</v>
      </c>
      <c r="E83" s="6">
        <v>45219</v>
      </c>
      <c r="F83" s="3">
        <v>10</v>
      </c>
      <c r="G83" s="3" t="s">
        <v>38</v>
      </c>
      <c r="H83" s="3" t="s">
        <v>39</v>
      </c>
      <c r="I83" s="3" t="str">
        <f t="shared" si="2"/>
        <v>MONTH|2023-09|MONTHLY|NA</v>
      </c>
    </row>
    <row r="84" spans="1:9" x14ac:dyDescent="0.55000000000000004">
      <c r="A84" s="3" t="s">
        <v>34</v>
      </c>
      <c r="B84" s="3" t="s">
        <v>114</v>
      </c>
      <c r="C84" s="3" t="s">
        <v>36</v>
      </c>
      <c r="D84" s="3" t="s">
        <v>37</v>
      </c>
      <c r="E84" s="6">
        <v>45250</v>
      </c>
      <c r="F84" s="3">
        <v>10</v>
      </c>
      <c r="G84" s="3" t="s">
        <v>38</v>
      </c>
      <c r="H84" s="3" t="s">
        <v>39</v>
      </c>
      <c r="I84" s="3" t="str">
        <f t="shared" si="2"/>
        <v>MONTH|2023-10|MONTHLY|NA</v>
      </c>
    </row>
    <row r="85" spans="1:9" x14ac:dyDescent="0.55000000000000004">
      <c r="A85" s="3" t="s">
        <v>34</v>
      </c>
      <c r="B85" s="3" t="s">
        <v>115</v>
      </c>
      <c r="C85" s="3" t="s">
        <v>36</v>
      </c>
      <c r="D85" s="3" t="s">
        <v>37</v>
      </c>
      <c r="E85" s="6">
        <v>45280</v>
      </c>
      <c r="F85" s="3">
        <v>10</v>
      </c>
      <c r="G85" s="3" t="s">
        <v>38</v>
      </c>
      <c r="H85" s="3" t="s">
        <v>39</v>
      </c>
      <c r="I85" s="3" t="str">
        <f t="shared" si="2"/>
        <v>MONTH|2023-11|MONTHLY|NA</v>
      </c>
    </row>
    <row r="86" spans="1:9" x14ac:dyDescent="0.55000000000000004">
      <c r="A86" s="3" t="s">
        <v>34</v>
      </c>
      <c r="B86" s="3" t="s">
        <v>116</v>
      </c>
      <c r="C86" s="3" t="s">
        <v>36</v>
      </c>
      <c r="D86" s="3" t="s">
        <v>37</v>
      </c>
      <c r="E86" s="6">
        <v>45311</v>
      </c>
      <c r="F86" s="3">
        <v>10</v>
      </c>
      <c r="G86" s="3" t="s">
        <v>38</v>
      </c>
      <c r="H86" s="3" t="s">
        <v>39</v>
      </c>
      <c r="I86" s="3" t="str">
        <f t="shared" si="2"/>
        <v>MONTH|2023-12|MONTHLY|NA</v>
      </c>
    </row>
    <row r="87" spans="1:9" x14ac:dyDescent="0.55000000000000004">
      <c r="A87" s="3" t="s">
        <v>34</v>
      </c>
      <c r="B87" s="3" t="s">
        <v>117</v>
      </c>
      <c r="C87" s="3" t="s">
        <v>36</v>
      </c>
      <c r="D87" s="3" t="s">
        <v>37</v>
      </c>
      <c r="E87" s="6">
        <v>45342</v>
      </c>
      <c r="F87" s="3">
        <v>10</v>
      </c>
      <c r="G87" s="3" t="s">
        <v>38</v>
      </c>
      <c r="H87" s="3" t="s">
        <v>39</v>
      </c>
      <c r="I87" s="3" t="str">
        <f t="shared" si="2"/>
        <v>MONTH|2024-01|MONTHLY|NA</v>
      </c>
    </row>
    <row r="88" spans="1:9" x14ac:dyDescent="0.55000000000000004">
      <c r="A88" s="3" t="s">
        <v>34</v>
      </c>
      <c r="B88" s="3" t="s">
        <v>118</v>
      </c>
      <c r="C88" s="3" t="s">
        <v>36</v>
      </c>
      <c r="D88" s="3" t="s">
        <v>37</v>
      </c>
      <c r="E88" s="6">
        <v>45371</v>
      </c>
      <c r="F88" s="3">
        <v>10</v>
      </c>
      <c r="G88" s="3" t="s">
        <v>38</v>
      </c>
      <c r="H88" s="3" t="s">
        <v>39</v>
      </c>
      <c r="I88" s="3" t="str">
        <f t="shared" si="2"/>
        <v>MONTH|2024-02|MONTHLY|NA</v>
      </c>
    </row>
    <row r="89" spans="1:9" x14ac:dyDescent="0.55000000000000004">
      <c r="A89" s="3" t="s">
        <v>34</v>
      </c>
      <c r="B89" s="3" t="s">
        <v>119</v>
      </c>
      <c r="C89" s="3" t="s">
        <v>36</v>
      </c>
      <c r="D89" s="3" t="s">
        <v>37</v>
      </c>
      <c r="E89" s="6">
        <v>45402</v>
      </c>
      <c r="F89" s="3">
        <v>10</v>
      </c>
      <c r="G89" s="3" t="s">
        <v>38</v>
      </c>
      <c r="H89" s="3" t="s">
        <v>39</v>
      </c>
      <c r="I89" s="3" t="str">
        <f t="shared" si="2"/>
        <v>MONTH|2024-03|MONTHLY|NA</v>
      </c>
    </row>
    <row r="90" spans="1:9" x14ac:dyDescent="0.55000000000000004">
      <c r="A90" s="3" t="s">
        <v>34</v>
      </c>
      <c r="B90" s="3" t="s">
        <v>120</v>
      </c>
      <c r="C90" s="3" t="s">
        <v>36</v>
      </c>
      <c r="D90" s="3" t="s">
        <v>37</v>
      </c>
      <c r="E90" s="6">
        <v>45432</v>
      </c>
      <c r="F90" s="3">
        <v>10</v>
      </c>
      <c r="G90" s="3" t="s">
        <v>38</v>
      </c>
      <c r="H90" s="3" t="s">
        <v>39</v>
      </c>
      <c r="I90" s="3" t="str">
        <f t="shared" si="2"/>
        <v>MONTH|2024-04|MONTHLY|NA</v>
      </c>
    </row>
    <row r="91" spans="1:9" x14ac:dyDescent="0.55000000000000004">
      <c r="A91" s="3" t="s">
        <v>34</v>
      </c>
      <c r="B91" s="3" t="s">
        <v>121</v>
      </c>
      <c r="C91" s="3" t="s">
        <v>36</v>
      </c>
      <c r="D91" s="3" t="s">
        <v>37</v>
      </c>
      <c r="E91" s="6">
        <v>45463</v>
      </c>
      <c r="F91" s="3">
        <v>10</v>
      </c>
      <c r="G91" s="3" t="s">
        <v>38</v>
      </c>
      <c r="H91" s="3" t="s">
        <v>39</v>
      </c>
      <c r="I91" s="3" t="str">
        <f t="shared" si="2"/>
        <v>MONTH|2024-05|MONTHLY|NA</v>
      </c>
    </row>
    <row r="92" spans="1:9" x14ac:dyDescent="0.55000000000000004">
      <c r="A92" s="3" t="s">
        <v>34</v>
      </c>
      <c r="B92" s="3" t="s">
        <v>122</v>
      </c>
      <c r="C92" s="3" t="s">
        <v>36</v>
      </c>
      <c r="D92" s="3" t="s">
        <v>37</v>
      </c>
      <c r="E92" s="6">
        <v>45493</v>
      </c>
      <c r="F92" s="3">
        <v>10</v>
      </c>
      <c r="G92" s="3" t="s">
        <v>38</v>
      </c>
      <c r="H92" s="3" t="s">
        <v>39</v>
      </c>
      <c r="I92" s="3" t="str">
        <f t="shared" si="2"/>
        <v>MONTH|2024-06|MONTHLY|NA</v>
      </c>
    </row>
    <row r="93" spans="1:9" x14ac:dyDescent="0.55000000000000004">
      <c r="A93" s="3" t="s">
        <v>34</v>
      </c>
      <c r="B93" s="3" t="s">
        <v>123</v>
      </c>
      <c r="C93" s="3" t="s">
        <v>36</v>
      </c>
      <c r="D93" s="3" t="s">
        <v>37</v>
      </c>
      <c r="E93" s="6">
        <v>45524</v>
      </c>
      <c r="F93" s="3">
        <v>10</v>
      </c>
      <c r="G93" s="3" t="s">
        <v>38</v>
      </c>
      <c r="H93" s="3" t="s">
        <v>39</v>
      </c>
      <c r="I93" s="3" t="str">
        <f t="shared" si="2"/>
        <v>MONTH|2024-07|MONTHLY|NA</v>
      </c>
    </row>
    <row r="94" spans="1:9" x14ac:dyDescent="0.55000000000000004">
      <c r="A94" s="3" t="s">
        <v>34</v>
      </c>
      <c r="B94" s="3" t="s">
        <v>124</v>
      </c>
      <c r="C94" s="3" t="s">
        <v>36</v>
      </c>
      <c r="D94" s="3" t="s">
        <v>37</v>
      </c>
      <c r="E94" s="6">
        <v>45555</v>
      </c>
      <c r="F94" s="3">
        <v>10</v>
      </c>
      <c r="G94" s="3" t="s">
        <v>38</v>
      </c>
      <c r="H94" s="3" t="s">
        <v>39</v>
      </c>
      <c r="I94" s="3" t="str">
        <f t="shared" si="2"/>
        <v>MONTH|2024-08|MONTHLY|NA</v>
      </c>
    </row>
    <row r="95" spans="1:9" x14ac:dyDescent="0.55000000000000004">
      <c r="A95" s="3" t="s">
        <v>34</v>
      </c>
      <c r="B95" s="3" t="s">
        <v>125</v>
      </c>
      <c r="C95" s="3" t="s">
        <v>36</v>
      </c>
      <c r="D95" s="3" t="s">
        <v>37</v>
      </c>
      <c r="E95" s="6">
        <v>45585</v>
      </c>
      <c r="F95" s="3">
        <v>10</v>
      </c>
      <c r="G95" s="3" t="s">
        <v>38</v>
      </c>
      <c r="H95" s="3" t="s">
        <v>39</v>
      </c>
      <c r="I95" s="3" t="str">
        <f t="shared" si="2"/>
        <v>MONTH|2024-09|MONTHLY|NA</v>
      </c>
    </row>
    <row r="96" spans="1:9" x14ac:dyDescent="0.55000000000000004">
      <c r="A96" s="3" t="s">
        <v>34</v>
      </c>
      <c r="B96" s="3" t="s">
        <v>126</v>
      </c>
      <c r="C96" s="3" t="s">
        <v>36</v>
      </c>
      <c r="D96" s="3" t="s">
        <v>37</v>
      </c>
      <c r="E96" s="6">
        <v>45616</v>
      </c>
      <c r="F96" s="3">
        <v>10</v>
      </c>
      <c r="G96" s="3" t="s">
        <v>38</v>
      </c>
      <c r="H96" s="3" t="s">
        <v>39</v>
      </c>
      <c r="I96" s="3" t="str">
        <f t="shared" si="2"/>
        <v>MONTH|2024-10|MONTHLY|NA</v>
      </c>
    </row>
    <row r="97" spans="1:9" x14ac:dyDescent="0.55000000000000004">
      <c r="A97" s="3" t="s">
        <v>34</v>
      </c>
      <c r="B97" s="3" t="s">
        <v>127</v>
      </c>
      <c r="C97" s="3" t="s">
        <v>36</v>
      </c>
      <c r="D97" s="3" t="s">
        <v>37</v>
      </c>
      <c r="E97" s="6">
        <v>45646</v>
      </c>
      <c r="F97" s="3">
        <v>10</v>
      </c>
      <c r="G97" s="3" t="s">
        <v>38</v>
      </c>
      <c r="H97" s="3" t="s">
        <v>39</v>
      </c>
      <c r="I97" s="3" t="str">
        <f t="shared" si="2"/>
        <v>MONTH|2024-11|MONTHLY|NA</v>
      </c>
    </row>
    <row r="98" spans="1:9" x14ac:dyDescent="0.55000000000000004">
      <c r="A98" s="3" t="s">
        <v>34</v>
      </c>
      <c r="B98" s="3" t="s">
        <v>128</v>
      </c>
      <c r="C98" s="3" t="s">
        <v>36</v>
      </c>
      <c r="D98" s="3" t="s">
        <v>37</v>
      </c>
      <c r="E98" s="6">
        <v>45677</v>
      </c>
      <c r="F98" s="3">
        <v>10</v>
      </c>
      <c r="G98" s="3" t="s">
        <v>38</v>
      </c>
      <c r="H98" s="3" t="s">
        <v>39</v>
      </c>
      <c r="I98" s="3" t="str">
        <f t="shared" si="2"/>
        <v>MONTH|2024-12|MONTHLY|NA</v>
      </c>
    </row>
    <row r="99" spans="1:9" x14ac:dyDescent="0.55000000000000004">
      <c r="A99" s="3" t="s">
        <v>34</v>
      </c>
      <c r="B99" s="3" t="s">
        <v>129</v>
      </c>
      <c r="C99" s="3" t="s">
        <v>36</v>
      </c>
      <c r="D99" s="3" t="s">
        <v>37</v>
      </c>
      <c r="E99" s="6">
        <v>45708</v>
      </c>
      <c r="F99" s="3">
        <v>10</v>
      </c>
      <c r="G99" s="3" t="s">
        <v>38</v>
      </c>
      <c r="H99" s="3" t="s">
        <v>39</v>
      </c>
      <c r="I99" s="3" t="str">
        <f t="shared" si="2"/>
        <v>MONTH|2025-01|MONTHLY|NA</v>
      </c>
    </row>
    <row r="100" spans="1:9" x14ac:dyDescent="0.55000000000000004">
      <c r="A100" s="3" t="s">
        <v>34</v>
      </c>
      <c r="B100" s="3" t="s">
        <v>130</v>
      </c>
      <c r="C100" s="3" t="s">
        <v>36</v>
      </c>
      <c r="D100" s="3" t="s">
        <v>37</v>
      </c>
      <c r="E100" s="6">
        <v>45736</v>
      </c>
      <c r="F100" s="3">
        <v>10</v>
      </c>
      <c r="G100" s="3" t="s">
        <v>38</v>
      </c>
      <c r="H100" s="3" t="s">
        <v>39</v>
      </c>
      <c r="I100" s="3" t="str">
        <f t="shared" si="2"/>
        <v>MONTH|2025-02|MONTHLY|NA</v>
      </c>
    </row>
    <row r="101" spans="1:9" x14ac:dyDescent="0.55000000000000004">
      <c r="A101" s="3" t="s">
        <v>34</v>
      </c>
      <c r="B101" s="3" t="s">
        <v>131</v>
      </c>
      <c r="C101" s="3" t="s">
        <v>36</v>
      </c>
      <c r="D101" s="3" t="s">
        <v>37</v>
      </c>
      <c r="E101" s="6">
        <v>45767</v>
      </c>
      <c r="F101" s="3">
        <v>10</v>
      </c>
      <c r="G101" s="3" t="s">
        <v>38</v>
      </c>
      <c r="H101" s="3" t="s">
        <v>39</v>
      </c>
      <c r="I101" s="3" t="str">
        <f t="shared" si="2"/>
        <v>MONTH|2025-03|MONTHLY|NA</v>
      </c>
    </row>
    <row r="102" spans="1:9" x14ac:dyDescent="0.55000000000000004">
      <c r="A102" s="3" t="s">
        <v>34</v>
      </c>
      <c r="B102" s="3" t="s">
        <v>132</v>
      </c>
      <c r="C102" s="3" t="s">
        <v>36</v>
      </c>
      <c r="D102" s="3" t="s">
        <v>37</v>
      </c>
      <c r="E102" s="6">
        <v>45797</v>
      </c>
      <c r="F102" s="3">
        <v>10</v>
      </c>
      <c r="G102" s="3" t="s">
        <v>38</v>
      </c>
      <c r="H102" s="3" t="s">
        <v>39</v>
      </c>
      <c r="I102" s="3" t="str">
        <f t="shared" si="2"/>
        <v>MONTH|2025-04|MONTHLY|NA</v>
      </c>
    </row>
    <row r="103" spans="1:9" x14ac:dyDescent="0.55000000000000004">
      <c r="A103" s="3" t="s">
        <v>34</v>
      </c>
      <c r="B103" s="3" t="s">
        <v>133</v>
      </c>
      <c r="C103" s="3" t="s">
        <v>36</v>
      </c>
      <c r="D103" s="3" t="s">
        <v>37</v>
      </c>
      <c r="E103" s="6">
        <v>45828</v>
      </c>
      <c r="F103" s="3">
        <v>10</v>
      </c>
      <c r="G103" s="3" t="s">
        <v>38</v>
      </c>
      <c r="H103" s="3" t="s">
        <v>39</v>
      </c>
      <c r="I103" s="3" t="str">
        <f t="shared" si="2"/>
        <v>MONTH|2025-05|MONTHLY|NA</v>
      </c>
    </row>
    <row r="104" spans="1:9" x14ac:dyDescent="0.55000000000000004">
      <c r="A104" s="3" t="s">
        <v>34</v>
      </c>
      <c r="B104" s="3" t="s">
        <v>134</v>
      </c>
      <c r="C104" s="3" t="s">
        <v>36</v>
      </c>
      <c r="D104" s="3" t="s">
        <v>37</v>
      </c>
      <c r="E104" s="6">
        <v>45858</v>
      </c>
      <c r="F104" s="3">
        <v>10</v>
      </c>
      <c r="G104" s="3" t="s">
        <v>38</v>
      </c>
      <c r="H104" s="3" t="s">
        <v>39</v>
      </c>
      <c r="I104" s="3" t="str">
        <f t="shared" si="2"/>
        <v>MONTH|2025-06|MONTHLY|NA</v>
      </c>
    </row>
    <row r="105" spans="1:9" x14ac:dyDescent="0.55000000000000004">
      <c r="A105" s="3" t="s">
        <v>34</v>
      </c>
      <c r="B105" s="3" t="s">
        <v>135</v>
      </c>
      <c r="C105" s="3" t="s">
        <v>36</v>
      </c>
      <c r="D105" s="3" t="s">
        <v>37</v>
      </c>
      <c r="E105" s="6">
        <v>45889</v>
      </c>
      <c r="F105" s="3">
        <v>10</v>
      </c>
      <c r="G105" s="3" t="s">
        <v>38</v>
      </c>
      <c r="H105" s="3" t="s">
        <v>39</v>
      </c>
      <c r="I105" s="3" t="str">
        <f t="shared" ref="I105:I136" si="3">A105&amp;"|"&amp;B105&amp;"|"&amp;C105&amp;"|"&amp;D105</f>
        <v>MONTH|2025-07|MONTHLY|NA</v>
      </c>
    </row>
    <row r="106" spans="1:9" x14ac:dyDescent="0.55000000000000004">
      <c r="A106" s="3" t="s">
        <v>34</v>
      </c>
      <c r="B106" s="3" t="s">
        <v>136</v>
      </c>
      <c r="C106" s="3" t="s">
        <v>36</v>
      </c>
      <c r="D106" s="3" t="s">
        <v>37</v>
      </c>
      <c r="E106" s="6">
        <v>45920</v>
      </c>
      <c r="F106" s="3">
        <v>10</v>
      </c>
      <c r="G106" s="3" t="s">
        <v>38</v>
      </c>
      <c r="H106" s="3" t="s">
        <v>39</v>
      </c>
      <c r="I106" s="3" t="str">
        <f t="shared" si="3"/>
        <v>MONTH|2025-08|MONTHLY|NA</v>
      </c>
    </row>
    <row r="107" spans="1:9" x14ac:dyDescent="0.55000000000000004">
      <c r="A107" s="3" t="s">
        <v>34</v>
      </c>
      <c r="B107" s="3" t="s">
        <v>137</v>
      </c>
      <c r="C107" s="3" t="s">
        <v>36</v>
      </c>
      <c r="D107" s="3" t="s">
        <v>37</v>
      </c>
      <c r="E107" s="6">
        <v>45950</v>
      </c>
      <c r="F107" s="3">
        <v>10</v>
      </c>
      <c r="G107" s="3" t="s">
        <v>38</v>
      </c>
      <c r="H107" s="3" t="s">
        <v>39</v>
      </c>
      <c r="I107" s="3" t="str">
        <f t="shared" si="3"/>
        <v>MONTH|2025-09|MONTHLY|NA</v>
      </c>
    </row>
    <row r="108" spans="1:9" x14ac:dyDescent="0.55000000000000004">
      <c r="A108" s="3" t="s">
        <v>34</v>
      </c>
      <c r="B108" s="3" t="s">
        <v>138</v>
      </c>
      <c r="C108" s="3" t="s">
        <v>36</v>
      </c>
      <c r="D108" s="3" t="s">
        <v>37</v>
      </c>
      <c r="E108" s="6">
        <v>45981</v>
      </c>
      <c r="F108" s="3">
        <v>10</v>
      </c>
      <c r="G108" s="3" t="s">
        <v>38</v>
      </c>
      <c r="H108" s="3" t="s">
        <v>39</v>
      </c>
      <c r="I108" s="3" t="str">
        <f t="shared" si="3"/>
        <v>MONTH|2025-10|MONTHLY|NA</v>
      </c>
    </row>
    <row r="109" spans="1:9" x14ac:dyDescent="0.55000000000000004">
      <c r="A109" s="3" t="s">
        <v>34</v>
      </c>
      <c r="B109" s="3" t="s">
        <v>139</v>
      </c>
      <c r="C109" s="3" t="s">
        <v>36</v>
      </c>
      <c r="D109" s="3" t="s">
        <v>37</v>
      </c>
      <c r="E109" s="6">
        <v>46011</v>
      </c>
      <c r="F109" s="3">
        <v>10</v>
      </c>
      <c r="G109" s="3" t="s">
        <v>38</v>
      </c>
      <c r="H109" s="3" t="s">
        <v>39</v>
      </c>
      <c r="I109" s="3" t="str">
        <f t="shared" si="3"/>
        <v>MONTH|2025-11|MONTHLY|NA</v>
      </c>
    </row>
    <row r="110" spans="1:9" x14ac:dyDescent="0.55000000000000004">
      <c r="A110" s="3" t="s">
        <v>34</v>
      </c>
      <c r="B110" s="3" t="s">
        <v>140</v>
      </c>
      <c r="C110" s="3" t="s">
        <v>36</v>
      </c>
      <c r="D110" s="3" t="s">
        <v>37</v>
      </c>
      <c r="E110" s="6">
        <v>46042</v>
      </c>
      <c r="F110" s="3">
        <v>10</v>
      </c>
      <c r="G110" s="3" t="s">
        <v>38</v>
      </c>
      <c r="H110" s="3" t="s">
        <v>39</v>
      </c>
      <c r="I110" s="3" t="str">
        <f t="shared" si="3"/>
        <v>MONTH|2025-12|MONTHLY|NA</v>
      </c>
    </row>
    <row r="111" spans="1:9" x14ac:dyDescent="0.55000000000000004">
      <c r="A111" s="3" t="s">
        <v>141</v>
      </c>
      <c r="B111" s="3" t="s">
        <v>142</v>
      </c>
      <c r="C111" s="3" t="s">
        <v>143</v>
      </c>
      <c r="D111" s="3" t="s">
        <v>144</v>
      </c>
      <c r="E111" s="6">
        <v>42938</v>
      </c>
      <c r="F111" s="3">
        <v>10</v>
      </c>
      <c r="G111" s="3" t="s">
        <v>145</v>
      </c>
      <c r="H111" s="3" t="s">
        <v>146</v>
      </c>
      <c r="I111" s="3" t="str">
        <f t="shared" si="3"/>
        <v>QUARTER|2017-Q1|QRMP|A</v>
      </c>
    </row>
    <row r="112" spans="1:9" x14ac:dyDescent="0.55000000000000004">
      <c r="A112" s="3" t="s">
        <v>141</v>
      </c>
      <c r="B112" s="3" t="s">
        <v>142</v>
      </c>
      <c r="C112" s="3" t="s">
        <v>143</v>
      </c>
      <c r="D112" s="3" t="s">
        <v>147</v>
      </c>
      <c r="E112" s="6">
        <v>42940</v>
      </c>
      <c r="F112" s="3">
        <v>10</v>
      </c>
      <c r="G112" s="3" t="s">
        <v>145</v>
      </c>
      <c r="H112" s="3" t="s">
        <v>148</v>
      </c>
      <c r="I112" s="3" t="str">
        <f t="shared" si="3"/>
        <v>QUARTER|2017-Q1|QRMP|B</v>
      </c>
    </row>
    <row r="113" spans="1:9" x14ac:dyDescent="0.55000000000000004">
      <c r="A113" s="3" t="s">
        <v>141</v>
      </c>
      <c r="B113" s="3" t="s">
        <v>149</v>
      </c>
      <c r="C113" s="3" t="s">
        <v>143</v>
      </c>
      <c r="D113" s="3" t="s">
        <v>144</v>
      </c>
      <c r="E113" s="6">
        <v>43030</v>
      </c>
      <c r="F113" s="3">
        <v>10</v>
      </c>
      <c r="G113" s="3" t="s">
        <v>145</v>
      </c>
      <c r="H113" s="3" t="s">
        <v>146</v>
      </c>
      <c r="I113" s="3" t="str">
        <f t="shared" si="3"/>
        <v>QUARTER|2017-Q2|QRMP|A</v>
      </c>
    </row>
    <row r="114" spans="1:9" x14ac:dyDescent="0.55000000000000004">
      <c r="A114" s="3" t="s">
        <v>141</v>
      </c>
      <c r="B114" s="3" t="s">
        <v>149</v>
      </c>
      <c r="C114" s="3" t="s">
        <v>143</v>
      </c>
      <c r="D114" s="3" t="s">
        <v>147</v>
      </c>
      <c r="E114" s="6">
        <v>43032</v>
      </c>
      <c r="F114" s="3">
        <v>10</v>
      </c>
      <c r="G114" s="3" t="s">
        <v>145</v>
      </c>
      <c r="H114" s="3" t="s">
        <v>148</v>
      </c>
      <c r="I114" s="3" t="str">
        <f t="shared" si="3"/>
        <v>QUARTER|2017-Q2|QRMP|B</v>
      </c>
    </row>
    <row r="115" spans="1:9" x14ac:dyDescent="0.55000000000000004">
      <c r="A115" s="3" t="s">
        <v>141</v>
      </c>
      <c r="B115" s="3" t="s">
        <v>150</v>
      </c>
      <c r="C115" s="3" t="s">
        <v>143</v>
      </c>
      <c r="D115" s="3" t="s">
        <v>144</v>
      </c>
      <c r="E115" s="6">
        <v>43122</v>
      </c>
      <c r="F115" s="3">
        <v>10</v>
      </c>
      <c r="G115" s="3" t="s">
        <v>145</v>
      </c>
      <c r="H115" s="3" t="s">
        <v>146</v>
      </c>
      <c r="I115" s="3" t="str">
        <f t="shared" si="3"/>
        <v>QUARTER|2017-Q3|QRMP|A</v>
      </c>
    </row>
    <row r="116" spans="1:9" x14ac:dyDescent="0.55000000000000004">
      <c r="A116" s="3" t="s">
        <v>141</v>
      </c>
      <c r="B116" s="3" t="s">
        <v>150</v>
      </c>
      <c r="C116" s="3" t="s">
        <v>143</v>
      </c>
      <c r="D116" s="3" t="s">
        <v>147</v>
      </c>
      <c r="E116" s="6">
        <v>43124</v>
      </c>
      <c r="F116" s="3">
        <v>10</v>
      </c>
      <c r="G116" s="3" t="s">
        <v>145</v>
      </c>
      <c r="H116" s="3" t="s">
        <v>148</v>
      </c>
      <c r="I116" s="3" t="str">
        <f t="shared" si="3"/>
        <v>QUARTER|2017-Q3|QRMP|B</v>
      </c>
    </row>
    <row r="117" spans="1:9" x14ac:dyDescent="0.55000000000000004">
      <c r="A117" s="3" t="s">
        <v>141</v>
      </c>
      <c r="B117" s="3" t="s">
        <v>151</v>
      </c>
      <c r="C117" s="3" t="s">
        <v>143</v>
      </c>
      <c r="D117" s="3" t="s">
        <v>144</v>
      </c>
      <c r="E117" s="6">
        <v>43212</v>
      </c>
      <c r="F117" s="3">
        <v>10</v>
      </c>
      <c r="G117" s="3" t="s">
        <v>145</v>
      </c>
      <c r="H117" s="3" t="s">
        <v>146</v>
      </c>
      <c r="I117" s="3" t="str">
        <f t="shared" si="3"/>
        <v>QUARTER|2017-Q4|QRMP|A</v>
      </c>
    </row>
    <row r="118" spans="1:9" x14ac:dyDescent="0.55000000000000004">
      <c r="A118" s="3" t="s">
        <v>141</v>
      </c>
      <c r="B118" s="3" t="s">
        <v>151</v>
      </c>
      <c r="C118" s="3" t="s">
        <v>143</v>
      </c>
      <c r="D118" s="3" t="s">
        <v>147</v>
      </c>
      <c r="E118" s="6">
        <v>43214</v>
      </c>
      <c r="F118" s="3">
        <v>10</v>
      </c>
      <c r="G118" s="3" t="s">
        <v>145</v>
      </c>
      <c r="H118" s="3" t="s">
        <v>148</v>
      </c>
      <c r="I118" s="3" t="str">
        <f t="shared" si="3"/>
        <v>QUARTER|2017-Q4|QRMP|B</v>
      </c>
    </row>
    <row r="119" spans="1:9" x14ac:dyDescent="0.55000000000000004">
      <c r="A119" s="3" t="s">
        <v>141</v>
      </c>
      <c r="B119" s="3" t="s">
        <v>152</v>
      </c>
      <c r="C119" s="3" t="s">
        <v>143</v>
      </c>
      <c r="D119" s="3" t="s">
        <v>144</v>
      </c>
      <c r="E119" s="6">
        <v>43303</v>
      </c>
      <c r="F119" s="3">
        <v>10</v>
      </c>
      <c r="G119" s="3" t="s">
        <v>145</v>
      </c>
      <c r="H119" s="3" t="s">
        <v>146</v>
      </c>
      <c r="I119" s="3" t="str">
        <f t="shared" si="3"/>
        <v>QUARTER|2018-Q1|QRMP|A</v>
      </c>
    </row>
    <row r="120" spans="1:9" x14ac:dyDescent="0.55000000000000004">
      <c r="A120" s="3" t="s">
        <v>141</v>
      </c>
      <c r="B120" s="3" t="s">
        <v>152</v>
      </c>
      <c r="C120" s="3" t="s">
        <v>143</v>
      </c>
      <c r="D120" s="3" t="s">
        <v>147</v>
      </c>
      <c r="E120" s="6">
        <v>43305</v>
      </c>
      <c r="F120" s="3">
        <v>10</v>
      </c>
      <c r="G120" s="3" t="s">
        <v>145</v>
      </c>
      <c r="H120" s="3" t="s">
        <v>148</v>
      </c>
      <c r="I120" s="3" t="str">
        <f t="shared" si="3"/>
        <v>QUARTER|2018-Q1|QRMP|B</v>
      </c>
    </row>
    <row r="121" spans="1:9" x14ac:dyDescent="0.55000000000000004">
      <c r="A121" s="3" t="s">
        <v>141</v>
      </c>
      <c r="B121" s="3" t="s">
        <v>153</v>
      </c>
      <c r="C121" s="3" t="s">
        <v>143</v>
      </c>
      <c r="D121" s="3" t="s">
        <v>144</v>
      </c>
      <c r="E121" s="6">
        <v>43395</v>
      </c>
      <c r="F121" s="3">
        <v>10</v>
      </c>
      <c r="G121" s="3" t="s">
        <v>145</v>
      </c>
      <c r="H121" s="3" t="s">
        <v>146</v>
      </c>
      <c r="I121" s="3" t="str">
        <f t="shared" si="3"/>
        <v>QUARTER|2018-Q2|QRMP|A</v>
      </c>
    </row>
    <row r="122" spans="1:9" x14ac:dyDescent="0.55000000000000004">
      <c r="A122" s="3" t="s">
        <v>141</v>
      </c>
      <c r="B122" s="3" t="s">
        <v>153</v>
      </c>
      <c r="C122" s="3" t="s">
        <v>143</v>
      </c>
      <c r="D122" s="3" t="s">
        <v>147</v>
      </c>
      <c r="E122" s="6">
        <v>43397</v>
      </c>
      <c r="F122" s="3">
        <v>10</v>
      </c>
      <c r="G122" s="3" t="s">
        <v>145</v>
      </c>
      <c r="H122" s="3" t="s">
        <v>148</v>
      </c>
      <c r="I122" s="3" t="str">
        <f t="shared" si="3"/>
        <v>QUARTER|2018-Q2|QRMP|B</v>
      </c>
    </row>
    <row r="123" spans="1:9" x14ac:dyDescent="0.55000000000000004">
      <c r="A123" s="3" t="s">
        <v>141</v>
      </c>
      <c r="B123" s="3" t="s">
        <v>154</v>
      </c>
      <c r="C123" s="3" t="s">
        <v>143</v>
      </c>
      <c r="D123" s="3" t="s">
        <v>144</v>
      </c>
      <c r="E123" s="6">
        <v>43487</v>
      </c>
      <c r="F123" s="3">
        <v>10</v>
      </c>
      <c r="G123" s="3" t="s">
        <v>145</v>
      </c>
      <c r="H123" s="3" t="s">
        <v>146</v>
      </c>
      <c r="I123" s="3" t="str">
        <f t="shared" si="3"/>
        <v>QUARTER|2018-Q3|QRMP|A</v>
      </c>
    </row>
    <row r="124" spans="1:9" x14ac:dyDescent="0.55000000000000004">
      <c r="A124" s="3" t="s">
        <v>141</v>
      </c>
      <c r="B124" s="3" t="s">
        <v>154</v>
      </c>
      <c r="C124" s="3" t="s">
        <v>143</v>
      </c>
      <c r="D124" s="3" t="s">
        <v>147</v>
      </c>
      <c r="E124" s="6">
        <v>43489</v>
      </c>
      <c r="F124" s="3">
        <v>10</v>
      </c>
      <c r="G124" s="3" t="s">
        <v>145</v>
      </c>
      <c r="H124" s="3" t="s">
        <v>148</v>
      </c>
      <c r="I124" s="3" t="str">
        <f t="shared" si="3"/>
        <v>QUARTER|2018-Q3|QRMP|B</v>
      </c>
    </row>
    <row r="125" spans="1:9" x14ac:dyDescent="0.55000000000000004">
      <c r="A125" s="3" t="s">
        <v>141</v>
      </c>
      <c r="B125" s="3" t="s">
        <v>155</v>
      </c>
      <c r="C125" s="3" t="s">
        <v>143</v>
      </c>
      <c r="D125" s="3" t="s">
        <v>144</v>
      </c>
      <c r="E125" s="6">
        <v>43577</v>
      </c>
      <c r="F125" s="3">
        <v>10</v>
      </c>
      <c r="G125" s="3" t="s">
        <v>145</v>
      </c>
      <c r="H125" s="3" t="s">
        <v>146</v>
      </c>
      <c r="I125" s="3" t="str">
        <f t="shared" si="3"/>
        <v>QUARTER|2018-Q4|QRMP|A</v>
      </c>
    </row>
    <row r="126" spans="1:9" x14ac:dyDescent="0.55000000000000004">
      <c r="A126" s="3" t="s">
        <v>141</v>
      </c>
      <c r="B126" s="3" t="s">
        <v>155</v>
      </c>
      <c r="C126" s="3" t="s">
        <v>143</v>
      </c>
      <c r="D126" s="3" t="s">
        <v>147</v>
      </c>
      <c r="E126" s="6">
        <v>43579</v>
      </c>
      <c r="F126" s="3">
        <v>10</v>
      </c>
      <c r="G126" s="3" t="s">
        <v>145</v>
      </c>
      <c r="H126" s="3" t="s">
        <v>148</v>
      </c>
      <c r="I126" s="3" t="str">
        <f t="shared" si="3"/>
        <v>QUARTER|2018-Q4|QRMP|B</v>
      </c>
    </row>
    <row r="127" spans="1:9" x14ac:dyDescent="0.55000000000000004">
      <c r="A127" s="3" t="s">
        <v>141</v>
      </c>
      <c r="B127" s="3" t="s">
        <v>156</v>
      </c>
      <c r="C127" s="3" t="s">
        <v>143</v>
      </c>
      <c r="D127" s="3" t="s">
        <v>144</v>
      </c>
      <c r="E127" s="6">
        <v>43668</v>
      </c>
      <c r="F127" s="3">
        <v>10</v>
      </c>
      <c r="G127" s="3" t="s">
        <v>145</v>
      </c>
      <c r="H127" s="3" t="s">
        <v>146</v>
      </c>
      <c r="I127" s="3" t="str">
        <f t="shared" si="3"/>
        <v>QUARTER|2019-Q1|QRMP|A</v>
      </c>
    </row>
    <row r="128" spans="1:9" x14ac:dyDescent="0.55000000000000004">
      <c r="A128" s="3" t="s">
        <v>141</v>
      </c>
      <c r="B128" s="3" t="s">
        <v>156</v>
      </c>
      <c r="C128" s="3" t="s">
        <v>143</v>
      </c>
      <c r="D128" s="3" t="s">
        <v>147</v>
      </c>
      <c r="E128" s="6">
        <v>43670</v>
      </c>
      <c r="F128" s="3">
        <v>10</v>
      </c>
      <c r="G128" s="3" t="s">
        <v>145</v>
      </c>
      <c r="H128" s="3" t="s">
        <v>148</v>
      </c>
      <c r="I128" s="3" t="str">
        <f t="shared" si="3"/>
        <v>QUARTER|2019-Q1|QRMP|B</v>
      </c>
    </row>
    <row r="129" spans="1:9" x14ac:dyDescent="0.55000000000000004">
      <c r="A129" s="3" t="s">
        <v>141</v>
      </c>
      <c r="B129" s="3" t="s">
        <v>157</v>
      </c>
      <c r="C129" s="3" t="s">
        <v>143</v>
      </c>
      <c r="D129" s="3" t="s">
        <v>144</v>
      </c>
      <c r="E129" s="6">
        <v>43760</v>
      </c>
      <c r="F129" s="3">
        <v>10</v>
      </c>
      <c r="G129" s="3" t="s">
        <v>145</v>
      </c>
      <c r="H129" s="3" t="s">
        <v>146</v>
      </c>
      <c r="I129" s="3" t="str">
        <f t="shared" si="3"/>
        <v>QUARTER|2019-Q2|QRMP|A</v>
      </c>
    </row>
    <row r="130" spans="1:9" x14ac:dyDescent="0.55000000000000004">
      <c r="A130" s="3" t="s">
        <v>141</v>
      </c>
      <c r="B130" s="3" t="s">
        <v>157</v>
      </c>
      <c r="C130" s="3" t="s">
        <v>143</v>
      </c>
      <c r="D130" s="3" t="s">
        <v>147</v>
      </c>
      <c r="E130" s="6">
        <v>43762</v>
      </c>
      <c r="F130" s="3">
        <v>10</v>
      </c>
      <c r="G130" s="3" t="s">
        <v>145</v>
      </c>
      <c r="H130" s="3" t="s">
        <v>148</v>
      </c>
      <c r="I130" s="3" t="str">
        <f t="shared" si="3"/>
        <v>QUARTER|2019-Q2|QRMP|B</v>
      </c>
    </row>
    <row r="131" spans="1:9" x14ac:dyDescent="0.55000000000000004">
      <c r="A131" s="3" t="s">
        <v>141</v>
      </c>
      <c r="B131" s="3" t="s">
        <v>158</v>
      </c>
      <c r="C131" s="3" t="s">
        <v>143</v>
      </c>
      <c r="D131" s="3" t="s">
        <v>144</v>
      </c>
      <c r="E131" s="6">
        <v>43852</v>
      </c>
      <c r="F131" s="3">
        <v>10</v>
      </c>
      <c r="G131" s="3" t="s">
        <v>145</v>
      </c>
      <c r="H131" s="3" t="s">
        <v>146</v>
      </c>
      <c r="I131" s="3" t="str">
        <f t="shared" si="3"/>
        <v>QUARTER|2019-Q3|QRMP|A</v>
      </c>
    </row>
    <row r="132" spans="1:9" x14ac:dyDescent="0.55000000000000004">
      <c r="A132" s="3" t="s">
        <v>141</v>
      </c>
      <c r="B132" s="3" t="s">
        <v>158</v>
      </c>
      <c r="C132" s="3" t="s">
        <v>143</v>
      </c>
      <c r="D132" s="3" t="s">
        <v>147</v>
      </c>
      <c r="E132" s="6">
        <v>43854</v>
      </c>
      <c r="F132" s="3">
        <v>10</v>
      </c>
      <c r="G132" s="3" t="s">
        <v>145</v>
      </c>
      <c r="H132" s="3" t="s">
        <v>148</v>
      </c>
      <c r="I132" s="3" t="str">
        <f t="shared" si="3"/>
        <v>QUARTER|2019-Q3|QRMP|B</v>
      </c>
    </row>
    <row r="133" spans="1:9" x14ac:dyDescent="0.55000000000000004">
      <c r="A133" s="3" t="s">
        <v>141</v>
      </c>
      <c r="B133" s="3" t="s">
        <v>159</v>
      </c>
      <c r="C133" s="3" t="s">
        <v>143</v>
      </c>
      <c r="D133" s="3" t="s">
        <v>144</v>
      </c>
      <c r="E133" s="6">
        <v>43943</v>
      </c>
      <c r="F133" s="3">
        <v>10</v>
      </c>
      <c r="G133" s="3" t="s">
        <v>145</v>
      </c>
      <c r="H133" s="3" t="s">
        <v>146</v>
      </c>
      <c r="I133" s="3" t="str">
        <f t="shared" si="3"/>
        <v>QUARTER|2019-Q4|QRMP|A</v>
      </c>
    </row>
    <row r="134" spans="1:9" x14ac:dyDescent="0.55000000000000004">
      <c r="A134" s="3" t="s">
        <v>141</v>
      </c>
      <c r="B134" s="3" t="s">
        <v>159</v>
      </c>
      <c r="C134" s="3" t="s">
        <v>143</v>
      </c>
      <c r="D134" s="3" t="s">
        <v>147</v>
      </c>
      <c r="E134" s="6">
        <v>43945</v>
      </c>
      <c r="F134" s="3">
        <v>10</v>
      </c>
      <c r="G134" s="3" t="s">
        <v>145</v>
      </c>
      <c r="H134" s="3" t="s">
        <v>148</v>
      </c>
      <c r="I134" s="3" t="str">
        <f t="shared" si="3"/>
        <v>QUARTER|2019-Q4|QRMP|B</v>
      </c>
    </row>
    <row r="135" spans="1:9" x14ac:dyDescent="0.55000000000000004">
      <c r="A135" s="3" t="s">
        <v>141</v>
      </c>
      <c r="B135" s="3" t="s">
        <v>160</v>
      </c>
      <c r="C135" s="3" t="s">
        <v>143</v>
      </c>
      <c r="D135" s="3" t="s">
        <v>144</v>
      </c>
      <c r="E135" s="6">
        <v>44034</v>
      </c>
      <c r="F135" s="3">
        <v>10</v>
      </c>
      <c r="G135" s="3" t="s">
        <v>145</v>
      </c>
      <c r="H135" s="3" t="s">
        <v>146</v>
      </c>
      <c r="I135" s="3" t="str">
        <f t="shared" si="3"/>
        <v>QUARTER|2020-Q1|QRMP|A</v>
      </c>
    </row>
    <row r="136" spans="1:9" x14ac:dyDescent="0.55000000000000004">
      <c r="A136" s="3" t="s">
        <v>141</v>
      </c>
      <c r="B136" s="3" t="s">
        <v>160</v>
      </c>
      <c r="C136" s="3" t="s">
        <v>143</v>
      </c>
      <c r="D136" s="3" t="s">
        <v>147</v>
      </c>
      <c r="E136" s="6">
        <v>44036</v>
      </c>
      <c r="F136" s="3">
        <v>10</v>
      </c>
      <c r="G136" s="3" t="s">
        <v>145</v>
      </c>
      <c r="H136" s="3" t="s">
        <v>148</v>
      </c>
      <c r="I136" s="3" t="str">
        <f t="shared" si="3"/>
        <v>QUARTER|2020-Q1|QRMP|B</v>
      </c>
    </row>
    <row r="137" spans="1:9" x14ac:dyDescent="0.55000000000000004">
      <c r="A137" s="3" t="s">
        <v>141</v>
      </c>
      <c r="B137" s="3" t="s">
        <v>161</v>
      </c>
      <c r="C137" s="3" t="s">
        <v>143</v>
      </c>
      <c r="D137" s="3" t="s">
        <v>144</v>
      </c>
      <c r="E137" s="6">
        <v>44126</v>
      </c>
      <c r="F137" s="3">
        <v>10</v>
      </c>
      <c r="G137" s="3" t="s">
        <v>145</v>
      </c>
      <c r="H137" s="3" t="s">
        <v>146</v>
      </c>
      <c r="I137" s="3" t="str">
        <f t="shared" ref="I137:I168" si="4">A137&amp;"|"&amp;B137&amp;"|"&amp;C137&amp;"|"&amp;D137</f>
        <v>QUARTER|2020-Q2|QRMP|A</v>
      </c>
    </row>
    <row r="138" spans="1:9" x14ac:dyDescent="0.55000000000000004">
      <c r="A138" s="3" t="s">
        <v>141</v>
      </c>
      <c r="B138" s="3" t="s">
        <v>161</v>
      </c>
      <c r="C138" s="3" t="s">
        <v>143</v>
      </c>
      <c r="D138" s="3" t="s">
        <v>147</v>
      </c>
      <c r="E138" s="6">
        <v>44128</v>
      </c>
      <c r="F138" s="3">
        <v>10</v>
      </c>
      <c r="G138" s="3" t="s">
        <v>145</v>
      </c>
      <c r="H138" s="3" t="s">
        <v>148</v>
      </c>
      <c r="I138" s="3" t="str">
        <f t="shared" si="4"/>
        <v>QUARTER|2020-Q2|QRMP|B</v>
      </c>
    </row>
    <row r="139" spans="1:9" x14ac:dyDescent="0.55000000000000004">
      <c r="A139" s="3" t="s">
        <v>141</v>
      </c>
      <c r="B139" s="3" t="s">
        <v>162</v>
      </c>
      <c r="C139" s="3" t="s">
        <v>143</v>
      </c>
      <c r="D139" s="3" t="s">
        <v>144</v>
      </c>
      <c r="E139" s="6">
        <v>44218</v>
      </c>
      <c r="F139" s="3">
        <v>10</v>
      </c>
      <c r="G139" s="3" t="s">
        <v>145</v>
      </c>
      <c r="H139" s="3" t="s">
        <v>146</v>
      </c>
      <c r="I139" s="3" t="str">
        <f t="shared" si="4"/>
        <v>QUARTER|2020-Q3|QRMP|A</v>
      </c>
    </row>
    <row r="140" spans="1:9" x14ac:dyDescent="0.55000000000000004">
      <c r="A140" s="3" t="s">
        <v>141</v>
      </c>
      <c r="B140" s="3" t="s">
        <v>162</v>
      </c>
      <c r="C140" s="3" t="s">
        <v>143</v>
      </c>
      <c r="D140" s="3" t="s">
        <v>147</v>
      </c>
      <c r="E140" s="6">
        <v>44220</v>
      </c>
      <c r="F140" s="3">
        <v>10</v>
      </c>
      <c r="G140" s="3" t="s">
        <v>145</v>
      </c>
      <c r="H140" s="3" t="s">
        <v>148</v>
      </c>
      <c r="I140" s="3" t="str">
        <f t="shared" si="4"/>
        <v>QUARTER|2020-Q3|QRMP|B</v>
      </c>
    </row>
    <row r="141" spans="1:9" x14ac:dyDescent="0.55000000000000004">
      <c r="A141" s="3" t="s">
        <v>141</v>
      </c>
      <c r="B141" s="3" t="s">
        <v>163</v>
      </c>
      <c r="C141" s="3" t="s">
        <v>143</v>
      </c>
      <c r="D141" s="3" t="s">
        <v>144</v>
      </c>
      <c r="E141" s="6">
        <v>44308</v>
      </c>
      <c r="F141" s="3">
        <v>10</v>
      </c>
      <c r="G141" s="3" t="s">
        <v>145</v>
      </c>
      <c r="H141" s="3" t="s">
        <v>146</v>
      </c>
      <c r="I141" s="3" t="str">
        <f t="shared" si="4"/>
        <v>QUARTER|2020-Q4|QRMP|A</v>
      </c>
    </row>
    <row r="142" spans="1:9" x14ac:dyDescent="0.55000000000000004">
      <c r="A142" s="3" t="s">
        <v>141</v>
      </c>
      <c r="B142" s="3" t="s">
        <v>163</v>
      </c>
      <c r="C142" s="3" t="s">
        <v>143</v>
      </c>
      <c r="D142" s="3" t="s">
        <v>147</v>
      </c>
      <c r="E142" s="6">
        <v>44310</v>
      </c>
      <c r="F142" s="3">
        <v>10</v>
      </c>
      <c r="G142" s="3" t="s">
        <v>145</v>
      </c>
      <c r="H142" s="3" t="s">
        <v>148</v>
      </c>
      <c r="I142" s="3" t="str">
        <f t="shared" si="4"/>
        <v>QUARTER|2020-Q4|QRMP|B</v>
      </c>
    </row>
    <row r="143" spans="1:9" x14ac:dyDescent="0.55000000000000004">
      <c r="A143" s="3" t="s">
        <v>141</v>
      </c>
      <c r="B143" s="3" t="s">
        <v>164</v>
      </c>
      <c r="C143" s="3" t="s">
        <v>143</v>
      </c>
      <c r="D143" s="3" t="s">
        <v>144</v>
      </c>
      <c r="E143" s="6">
        <v>44399</v>
      </c>
      <c r="F143" s="3">
        <v>10</v>
      </c>
      <c r="G143" s="3" t="s">
        <v>145</v>
      </c>
      <c r="H143" s="3" t="s">
        <v>146</v>
      </c>
      <c r="I143" s="3" t="str">
        <f t="shared" si="4"/>
        <v>QUARTER|2021-Q1|QRMP|A</v>
      </c>
    </row>
    <row r="144" spans="1:9" x14ac:dyDescent="0.55000000000000004">
      <c r="A144" s="3" t="s">
        <v>141</v>
      </c>
      <c r="B144" s="3" t="s">
        <v>164</v>
      </c>
      <c r="C144" s="3" t="s">
        <v>143</v>
      </c>
      <c r="D144" s="3" t="s">
        <v>147</v>
      </c>
      <c r="E144" s="6">
        <v>44401</v>
      </c>
      <c r="F144" s="3">
        <v>10</v>
      </c>
      <c r="G144" s="3" t="s">
        <v>145</v>
      </c>
      <c r="H144" s="3" t="s">
        <v>148</v>
      </c>
      <c r="I144" s="3" t="str">
        <f t="shared" si="4"/>
        <v>QUARTER|2021-Q1|QRMP|B</v>
      </c>
    </row>
    <row r="145" spans="1:9" x14ac:dyDescent="0.55000000000000004">
      <c r="A145" s="3" t="s">
        <v>141</v>
      </c>
      <c r="B145" s="3" t="s">
        <v>165</v>
      </c>
      <c r="C145" s="3" t="s">
        <v>143</v>
      </c>
      <c r="D145" s="3" t="s">
        <v>144</v>
      </c>
      <c r="E145" s="6">
        <v>44491</v>
      </c>
      <c r="F145" s="3">
        <v>10</v>
      </c>
      <c r="G145" s="3" t="s">
        <v>145</v>
      </c>
      <c r="H145" s="3" t="s">
        <v>146</v>
      </c>
      <c r="I145" s="3" t="str">
        <f t="shared" si="4"/>
        <v>QUARTER|2021-Q2|QRMP|A</v>
      </c>
    </row>
    <row r="146" spans="1:9" x14ac:dyDescent="0.55000000000000004">
      <c r="A146" s="3" t="s">
        <v>141</v>
      </c>
      <c r="B146" s="3" t="s">
        <v>165</v>
      </c>
      <c r="C146" s="3" t="s">
        <v>143</v>
      </c>
      <c r="D146" s="3" t="s">
        <v>147</v>
      </c>
      <c r="E146" s="6">
        <v>44493</v>
      </c>
      <c r="F146" s="3">
        <v>10</v>
      </c>
      <c r="G146" s="3" t="s">
        <v>145</v>
      </c>
      <c r="H146" s="3" t="s">
        <v>148</v>
      </c>
      <c r="I146" s="3" t="str">
        <f t="shared" si="4"/>
        <v>QUARTER|2021-Q2|QRMP|B</v>
      </c>
    </row>
    <row r="147" spans="1:9" x14ac:dyDescent="0.55000000000000004">
      <c r="A147" s="3" t="s">
        <v>141</v>
      </c>
      <c r="B147" s="3" t="s">
        <v>166</v>
      </c>
      <c r="C147" s="3" t="s">
        <v>143</v>
      </c>
      <c r="D147" s="3" t="s">
        <v>144</v>
      </c>
      <c r="E147" s="6">
        <v>44583</v>
      </c>
      <c r="F147" s="3">
        <v>10</v>
      </c>
      <c r="G147" s="3" t="s">
        <v>145</v>
      </c>
      <c r="H147" s="3" t="s">
        <v>146</v>
      </c>
      <c r="I147" s="3" t="str">
        <f t="shared" si="4"/>
        <v>QUARTER|2021-Q3|QRMP|A</v>
      </c>
    </row>
    <row r="148" spans="1:9" x14ac:dyDescent="0.55000000000000004">
      <c r="A148" s="3" t="s">
        <v>141</v>
      </c>
      <c r="B148" s="3" t="s">
        <v>166</v>
      </c>
      <c r="C148" s="3" t="s">
        <v>143</v>
      </c>
      <c r="D148" s="3" t="s">
        <v>147</v>
      </c>
      <c r="E148" s="6">
        <v>44585</v>
      </c>
      <c r="F148" s="3">
        <v>10</v>
      </c>
      <c r="G148" s="3" t="s">
        <v>145</v>
      </c>
      <c r="H148" s="3" t="s">
        <v>148</v>
      </c>
      <c r="I148" s="3" t="str">
        <f t="shared" si="4"/>
        <v>QUARTER|2021-Q3|QRMP|B</v>
      </c>
    </row>
    <row r="149" spans="1:9" x14ac:dyDescent="0.55000000000000004">
      <c r="A149" s="3" t="s">
        <v>141</v>
      </c>
      <c r="B149" s="3" t="s">
        <v>167</v>
      </c>
      <c r="C149" s="3" t="s">
        <v>143</v>
      </c>
      <c r="D149" s="3" t="s">
        <v>144</v>
      </c>
      <c r="E149" s="6">
        <v>44673</v>
      </c>
      <c r="F149" s="3">
        <v>10</v>
      </c>
      <c r="G149" s="3" t="s">
        <v>145</v>
      </c>
      <c r="H149" s="3" t="s">
        <v>146</v>
      </c>
      <c r="I149" s="3" t="str">
        <f t="shared" si="4"/>
        <v>QUARTER|2021-Q4|QRMP|A</v>
      </c>
    </row>
    <row r="150" spans="1:9" x14ac:dyDescent="0.55000000000000004">
      <c r="A150" s="3" t="s">
        <v>141</v>
      </c>
      <c r="B150" s="3" t="s">
        <v>167</v>
      </c>
      <c r="C150" s="3" t="s">
        <v>143</v>
      </c>
      <c r="D150" s="3" t="s">
        <v>147</v>
      </c>
      <c r="E150" s="6">
        <v>44675</v>
      </c>
      <c r="F150" s="3">
        <v>10</v>
      </c>
      <c r="G150" s="3" t="s">
        <v>145</v>
      </c>
      <c r="H150" s="3" t="s">
        <v>148</v>
      </c>
      <c r="I150" s="3" t="str">
        <f t="shared" si="4"/>
        <v>QUARTER|2021-Q4|QRMP|B</v>
      </c>
    </row>
    <row r="151" spans="1:9" x14ac:dyDescent="0.55000000000000004">
      <c r="A151" s="3" t="s">
        <v>141</v>
      </c>
      <c r="B151" s="3" t="s">
        <v>168</v>
      </c>
      <c r="C151" s="3" t="s">
        <v>143</v>
      </c>
      <c r="D151" s="3" t="s">
        <v>144</v>
      </c>
      <c r="E151" s="6">
        <v>44764</v>
      </c>
      <c r="F151" s="3">
        <v>10</v>
      </c>
      <c r="G151" s="3" t="s">
        <v>145</v>
      </c>
      <c r="H151" s="3" t="s">
        <v>146</v>
      </c>
      <c r="I151" s="3" t="str">
        <f t="shared" si="4"/>
        <v>QUARTER|2022-Q1|QRMP|A</v>
      </c>
    </row>
    <row r="152" spans="1:9" x14ac:dyDescent="0.55000000000000004">
      <c r="A152" s="3" t="s">
        <v>141</v>
      </c>
      <c r="B152" s="3" t="s">
        <v>168</v>
      </c>
      <c r="C152" s="3" t="s">
        <v>143</v>
      </c>
      <c r="D152" s="3" t="s">
        <v>147</v>
      </c>
      <c r="E152" s="6">
        <v>44766</v>
      </c>
      <c r="F152" s="3">
        <v>10</v>
      </c>
      <c r="G152" s="3" t="s">
        <v>145</v>
      </c>
      <c r="H152" s="3" t="s">
        <v>148</v>
      </c>
      <c r="I152" s="3" t="str">
        <f t="shared" si="4"/>
        <v>QUARTER|2022-Q1|QRMP|B</v>
      </c>
    </row>
    <row r="153" spans="1:9" x14ac:dyDescent="0.55000000000000004">
      <c r="A153" s="3" t="s">
        <v>141</v>
      </c>
      <c r="B153" s="3" t="s">
        <v>169</v>
      </c>
      <c r="C153" s="3" t="s">
        <v>143</v>
      </c>
      <c r="D153" s="3" t="s">
        <v>144</v>
      </c>
      <c r="E153" s="6">
        <v>44856</v>
      </c>
      <c r="F153" s="3">
        <v>10</v>
      </c>
      <c r="G153" s="3" t="s">
        <v>145</v>
      </c>
      <c r="H153" s="3" t="s">
        <v>146</v>
      </c>
      <c r="I153" s="3" t="str">
        <f t="shared" si="4"/>
        <v>QUARTER|2022-Q2|QRMP|A</v>
      </c>
    </row>
    <row r="154" spans="1:9" x14ac:dyDescent="0.55000000000000004">
      <c r="A154" s="3" t="s">
        <v>141</v>
      </c>
      <c r="B154" s="3" t="s">
        <v>169</v>
      </c>
      <c r="C154" s="3" t="s">
        <v>143</v>
      </c>
      <c r="D154" s="3" t="s">
        <v>147</v>
      </c>
      <c r="E154" s="6">
        <v>44858</v>
      </c>
      <c r="F154" s="3">
        <v>10</v>
      </c>
      <c r="G154" s="3" t="s">
        <v>145</v>
      </c>
      <c r="H154" s="3" t="s">
        <v>148</v>
      </c>
      <c r="I154" s="3" t="str">
        <f t="shared" si="4"/>
        <v>QUARTER|2022-Q2|QRMP|B</v>
      </c>
    </row>
    <row r="155" spans="1:9" x14ac:dyDescent="0.55000000000000004">
      <c r="A155" s="3" t="s">
        <v>141</v>
      </c>
      <c r="B155" s="3" t="s">
        <v>170</v>
      </c>
      <c r="C155" s="3" t="s">
        <v>143</v>
      </c>
      <c r="D155" s="3" t="s">
        <v>144</v>
      </c>
      <c r="E155" s="6">
        <v>44948</v>
      </c>
      <c r="F155" s="3">
        <v>10</v>
      </c>
      <c r="G155" s="3" t="s">
        <v>145</v>
      </c>
      <c r="H155" s="3" t="s">
        <v>146</v>
      </c>
      <c r="I155" s="3" t="str">
        <f t="shared" si="4"/>
        <v>QUARTER|2022-Q3|QRMP|A</v>
      </c>
    </row>
    <row r="156" spans="1:9" x14ac:dyDescent="0.55000000000000004">
      <c r="A156" s="3" t="s">
        <v>141</v>
      </c>
      <c r="B156" s="3" t="s">
        <v>170</v>
      </c>
      <c r="C156" s="3" t="s">
        <v>143</v>
      </c>
      <c r="D156" s="3" t="s">
        <v>147</v>
      </c>
      <c r="E156" s="6">
        <v>44950</v>
      </c>
      <c r="F156" s="3">
        <v>10</v>
      </c>
      <c r="G156" s="3" t="s">
        <v>145</v>
      </c>
      <c r="H156" s="3" t="s">
        <v>148</v>
      </c>
      <c r="I156" s="3" t="str">
        <f t="shared" si="4"/>
        <v>QUARTER|2022-Q3|QRMP|B</v>
      </c>
    </row>
    <row r="157" spans="1:9" x14ac:dyDescent="0.55000000000000004">
      <c r="A157" s="3" t="s">
        <v>141</v>
      </c>
      <c r="B157" s="3" t="s">
        <v>171</v>
      </c>
      <c r="C157" s="3" t="s">
        <v>143</v>
      </c>
      <c r="D157" s="3" t="s">
        <v>144</v>
      </c>
      <c r="E157" s="6">
        <v>45038</v>
      </c>
      <c r="F157" s="3">
        <v>10</v>
      </c>
      <c r="G157" s="3" t="s">
        <v>145</v>
      </c>
      <c r="H157" s="3" t="s">
        <v>146</v>
      </c>
      <c r="I157" s="3" t="str">
        <f t="shared" si="4"/>
        <v>QUARTER|2022-Q4|QRMP|A</v>
      </c>
    </row>
    <row r="158" spans="1:9" x14ac:dyDescent="0.55000000000000004">
      <c r="A158" s="3" t="s">
        <v>141</v>
      </c>
      <c r="B158" s="3" t="s">
        <v>171</v>
      </c>
      <c r="C158" s="3" t="s">
        <v>143</v>
      </c>
      <c r="D158" s="3" t="s">
        <v>147</v>
      </c>
      <c r="E158" s="6">
        <v>45040</v>
      </c>
      <c r="F158" s="3">
        <v>10</v>
      </c>
      <c r="G158" s="3" t="s">
        <v>145</v>
      </c>
      <c r="H158" s="3" t="s">
        <v>148</v>
      </c>
      <c r="I158" s="3" t="str">
        <f t="shared" si="4"/>
        <v>QUARTER|2022-Q4|QRMP|B</v>
      </c>
    </row>
    <row r="159" spans="1:9" x14ac:dyDescent="0.55000000000000004">
      <c r="A159" s="3" t="s">
        <v>141</v>
      </c>
      <c r="B159" s="3" t="s">
        <v>172</v>
      </c>
      <c r="C159" s="3" t="s">
        <v>143</v>
      </c>
      <c r="D159" s="3" t="s">
        <v>144</v>
      </c>
      <c r="E159" s="6">
        <v>45129</v>
      </c>
      <c r="F159" s="3">
        <v>10</v>
      </c>
      <c r="G159" s="3" t="s">
        <v>145</v>
      </c>
      <c r="H159" s="3" t="s">
        <v>146</v>
      </c>
      <c r="I159" s="3" t="str">
        <f t="shared" si="4"/>
        <v>QUARTER|2023-Q1|QRMP|A</v>
      </c>
    </row>
    <row r="160" spans="1:9" x14ac:dyDescent="0.55000000000000004">
      <c r="A160" s="3" t="s">
        <v>141</v>
      </c>
      <c r="B160" s="3" t="s">
        <v>172</v>
      </c>
      <c r="C160" s="3" t="s">
        <v>143</v>
      </c>
      <c r="D160" s="3" t="s">
        <v>147</v>
      </c>
      <c r="E160" s="6">
        <v>45131</v>
      </c>
      <c r="F160" s="3">
        <v>10</v>
      </c>
      <c r="G160" s="3" t="s">
        <v>145</v>
      </c>
      <c r="H160" s="3" t="s">
        <v>148</v>
      </c>
      <c r="I160" s="3" t="str">
        <f t="shared" si="4"/>
        <v>QUARTER|2023-Q1|QRMP|B</v>
      </c>
    </row>
    <row r="161" spans="1:9" x14ac:dyDescent="0.55000000000000004">
      <c r="A161" s="3" t="s">
        <v>141</v>
      </c>
      <c r="B161" s="3" t="s">
        <v>173</v>
      </c>
      <c r="C161" s="3" t="s">
        <v>143</v>
      </c>
      <c r="D161" s="3" t="s">
        <v>144</v>
      </c>
      <c r="E161" s="6">
        <v>45221</v>
      </c>
      <c r="F161" s="3">
        <v>10</v>
      </c>
      <c r="G161" s="3" t="s">
        <v>145</v>
      </c>
      <c r="H161" s="3" t="s">
        <v>146</v>
      </c>
      <c r="I161" s="3" t="str">
        <f t="shared" si="4"/>
        <v>QUARTER|2023-Q2|QRMP|A</v>
      </c>
    </row>
    <row r="162" spans="1:9" x14ac:dyDescent="0.55000000000000004">
      <c r="A162" s="3" t="s">
        <v>141</v>
      </c>
      <c r="B162" s="3" t="s">
        <v>173</v>
      </c>
      <c r="C162" s="3" t="s">
        <v>143</v>
      </c>
      <c r="D162" s="3" t="s">
        <v>147</v>
      </c>
      <c r="E162" s="6">
        <v>45223</v>
      </c>
      <c r="F162" s="3">
        <v>10</v>
      </c>
      <c r="G162" s="3" t="s">
        <v>145</v>
      </c>
      <c r="H162" s="3" t="s">
        <v>148</v>
      </c>
      <c r="I162" s="3" t="str">
        <f t="shared" si="4"/>
        <v>QUARTER|2023-Q2|QRMP|B</v>
      </c>
    </row>
    <row r="163" spans="1:9" x14ac:dyDescent="0.55000000000000004">
      <c r="A163" s="3" t="s">
        <v>141</v>
      </c>
      <c r="B163" s="3" t="s">
        <v>174</v>
      </c>
      <c r="C163" s="3" t="s">
        <v>143</v>
      </c>
      <c r="D163" s="3" t="s">
        <v>144</v>
      </c>
      <c r="E163" s="6">
        <v>45313</v>
      </c>
      <c r="F163" s="3">
        <v>10</v>
      </c>
      <c r="G163" s="3" t="s">
        <v>145</v>
      </c>
      <c r="H163" s="3" t="s">
        <v>146</v>
      </c>
      <c r="I163" s="3" t="str">
        <f t="shared" si="4"/>
        <v>QUARTER|2023-Q3|QRMP|A</v>
      </c>
    </row>
    <row r="164" spans="1:9" x14ac:dyDescent="0.55000000000000004">
      <c r="A164" s="3" t="s">
        <v>141</v>
      </c>
      <c r="B164" s="3" t="s">
        <v>174</v>
      </c>
      <c r="C164" s="3" t="s">
        <v>143</v>
      </c>
      <c r="D164" s="3" t="s">
        <v>147</v>
      </c>
      <c r="E164" s="6">
        <v>45315</v>
      </c>
      <c r="F164" s="3">
        <v>10</v>
      </c>
      <c r="G164" s="3" t="s">
        <v>145</v>
      </c>
      <c r="H164" s="3" t="s">
        <v>148</v>
      </c>
      <c r="I164" s="3" t="str">
        <f t="shared" si="4"/>
        <v>QUARTER|2023-Q3|QRMP|B</v>
      </c>
    </row>
    <row r="165" spans="1:9" x14ac:dyDescent="0.55000000000000004">
      <c r="A165" s="3" t="s">
        <v>141</v>
      </c>
      <c r="B165" s="3" t="s">
        <v>175</v>
      </c>
      <c r="C165" s="3" t="s">
        <v>143</v>
      </c>
      <c r="D165" s="3" t="s">
        <v>144</v>
      </c>
      <c r="E165" s="6">
        <v>45404</v>
      </c>
      <c r="F165" s="3">
        <v>10</v>
      </c>
      <c r="G165" s="3" t="s">
        <v>145</v>
      </c>
      <c r="H165" s="3" t="s">
        <v>146</v>
      </c>
      <c r="I165" s="3" t="str">
        <f t="shared" si="4"/>
        <v>QUARTER|2023-Q4|QRMP|A</v>
      </c>
    </row>
    <row r="166" spans="1:9" x14ac:dyDescent="0.55000000000000004">
      <c r="A166" s="3" t="s">
        <v>141</v>
      </c>
      <c r="B166" s="3" t="s">
        <v>175</v>
      </c>
      <c r="C166" s="3" t="s">
        <v>143</v>
      </c>
      <c r="D166" s="3" t="s">
        <v>147</v>
      </c>
      <c r="E166" s="6">
        <v>45406</v>
      </c>
      <c r="F166" s="3">
        <v>10</v>
      </c>
      <c r="G166" s="3" t="s">
        <v>145</v>
      </c>
      <c r="H166" s="3" t="s">
        <v>148</v>
      </c>
      <c r="I166" s="3" t="str">
        <f t="shared" si="4"/>
        <v>QUARTER|2023-Q4|QRMP|B</v>
      </c>
    </row>
    <row r="167" spans="1:9" x14ac:dyDescent="0.55000000000000004">
      <c r="A167" s="3" t="s">
        <v>141</v>
      </c>
      <c r="B167" s="3" t="s">
        <v>176</v>
      </c>
      <c r="C167" s="3" t="s">
        <v>143</v>
      </c>
      <c r="D167" s="3" t="s">
        <v>144</v>
      </c>
      <c r="E167" s="6">
        <v>45495</v>
      </c>
      <c r="F167" s="3">
        <v>10</v>
      </c>
      <c r="G167" s="3" t="s">
        <v>145</v>
      </c>
      <c r="H167" s="3" t="s">
        <v>146</v>
      </c>
      <c r="I167" s="3" t="str">
        <f t="shared" si="4"/>
        <v>QUARTER|2024-Q1|QRMP|A</v>
      </c>
    </row>
    <row r="168" spans="1:9" x14ac:dyDescent="0.55000000000000004">
      <c r="A168" s="3" t="s">
        <v>141</v>
      </c>
      <c r="B168" s="3" t="s">
        <v>176</v>
      </c>
      <c r="C168" s="3" t="s">
        <v>143</v>
      </c>
      <c r="D168" s="3" t="s">
        <v>147</v>
      </c>
      <c r="E168" s="6">
        <v>45497</v>
      </c>
      <c r="F168" s="3">
        <v>10</v>
      </c>
      <c r="G168" s="3" t="s">
        <v>145</v>
      </c>
      <c r="H168" s="3" t="s">
        <v>148</v>
      </c>
      <c r="I168" s="3" t="str">
        <f t="shared" si="4"/>
        <v>QUARTER|2024-Q1|QRMP|B</v>
      </c>
    </row>
    <row r="169" spans="1:9" x14ac:dyDescent="0.55000000000000004">
      <c r="A169" s="3" t="s">
        <v>141</v>
      </c>
      <c r="B169" s="3" t="s">
        <v>177</v>
      </c>
      <c r="C169" s="3" t="s">
        <v>143</v>
      </c>
      <c r="D169" s="3" t="s">
        <v>144</v>
      </c>
      <c r="E169" s="6">
        <v>45587</v>
      </c>
      <c r="F169" s="3">
        <v>10</v>
      </c>
      <c r="G169" s="3" t="s">
        <v>145</v>
      </c>
      <c r="H169" s="3" t="s">
        <v>146</v>
      </c>
      <c r="I169" s="3" t="str">
        <f t="shared" ref="I169:I188" si="5">A169&amp;"|"&amp;B169&amp;"|"&amp;C169&amp;"|"&amp;D169</f>
        <v>QUARTER|2024-Q2|QRMP|A</v>
      </c>
    </row>
    <row r="170" spans="1:9" x14ac:dyDescent="0.55000000000000004">
      <c r="A170" s="3" t="s">
        <v>141</v>
      </c>
      <c r="B170" s="3" t="s">
        <v>177</v>
      </c>
      <c r="C170" s="3" t="s">
        <v>143</v>
      </c>
      <c r="D170" s="3" t="s">
        <v>147</v>
      </c>
      <c r="E170" s="6">
        <v>45589</v>
      </c>
      <c r="F170" s="3">
        <v>10</v>
      </c>
      <c r="G170" s="3" t="s">
        <v>145</v>
      </c>
      <c r="H170" s="3" t="s">
        <v>148</v>
      </c>
      <c r="I170" s="3" t="str">
        <f t="shared" si="5"/>
        <v>QUARTER|2024-Q2|QRMP|B</v>
      </c>
    </row>
    <row r="171" spans="1:9" x14ac:dyDescent="0.55000000000000004">
      <c r="A171" s="3" t="s">
        <v>141</v>
      </c>
      <c r="B171" s="3" t="s">
        <v>178</v>
      </c>
      <c r="C171" s="3" t="s">
        <v>143</v>
      </c>
      <c r="D171" s="3" t="s">
        <v>144</v>
      </c>
      <c r="E171" s="6">
        <v>45679</v>
      </c>
      <c r="F171" s="3">
        <v>10</v>
      </c>
      <c r="G171" s="3" t="s">
        <v>145</v>
      </c>
      <c r="H171" s="3" t="s">
        <v>146</v>
      </c>
      <c r="I171" s="3" t="str">
        <f t="shared" si="5"/>
        <v>QUARTER|2024-Q3|QRMP|A</v>
      </c>
    </row>
    <row r="172" spans="1:9" x14ac:dyDescent="0.55000000000000004">
      <c r="A172" s="3" t="s">
        <v>141</v>
      </c>
      <c r="B172" s="3" t="s">
        <v>178</v>
      </c>
      <c r="C172" s="3" t="s">
        <v>143</v>
      </c>
      <c r="D172" s="3" t="s">
        <v>147</v>
      </c>
      <c r="E172" s="6">
        <v>45681</v>
      </c>
      <c r="F172" s="3">
        <v>10</v>
      </c>
      <c r="G172" s="3" t="s">
        <v>145</v>
      </c>
      <c r="H172" s="3" t="s">
        <v>148</v>
      </c>
      <c r="I172" s="3" t="str">
        <f t="shared" si="5"/>
        <v>QUARTER|2024-Q3|QRMP|B</v>
      </c>
    </row>
    <row r="173" spans="1:9" x14ac:dyDescent="0.55000000000000004">
      <c r="A173" s="3" t="s">
        <v>141</v>
      </c>
      <c r="B173" s="3" t="s">
        <v>179</v>
      </c>
      <c r="C173" s="3" t="s">
        <v>143</v>
      </c>
      <c r="D173" s="3" t="s">
        <v>144</v>
      </c>
      <c r="E173" s="6">
        <v>45769</v>
      </c>
      <c r="F173" s="3">
        <v>10</v>
      </c>
      <c r="G173" s="3" t="s">
        <v>145</v>
      </c>
      <c r="H173" s="3" t="s">
        <v>146</v>
      </c>
      <c r="I173" s="3" t="str">
        <f t="shared" si="5"/>
        <v>QUARTER|2024-Q4|QRMP|A</v>
      </c>
    </row>
    <row r="174" spans="1:9" x14ac:dyDescent="0.55000000000000004">
      <c r="A174" s="3" t="s">
        <v>141</v>
      </c>
      <c r="B174" s="3" t="s">
        <v>179</v>
      </c>
      <c r="C174" s="3" t="s">
        <v>143</v>
      </c>
      <c r="D174" s="3" t="s">
        <v>147</v>
      </c>
      <c r="E174" s="6">
        <v>45771</v>
      </c>
      <c r="F174" s="3">
        <v>10</v>
      </c>
      <c r="G174" s="3" t="s">
        <v>145</v>
      </c>
      <c r="H174" s="3" t="s">
        <v>148</v>
      </c>
      <c r="I174" s="3" t="str">
        <f t="shared" si="5"/>
        <v>QUARTER|2024-Q4|QRMP|B</v>
      </c>
    </row>
    <row r="175" spans="1:9" x14ac:dyDescent="0.55000000000000004">
      <c r="A175" s="3" t="s">
        <v>141</v>
      </c>
      <c r="B175" s="3" t="s">
        <v>180</v>
      </c>
      <c r="C175" s="3" t="s">
        <v>143</v>
      </c>
      <c r="D175" s="3" t="s">
        <v>144</v>
      </c>
      <c r="E175" s="6">
        <v>45860</v>
      </c>
      <c r="F175" s="3">
        <v>10</v>
      </c>
      <c r="G175" s="3" t="s">
        <v>145</v>
      </c>
      <c r="H175" s="3" t="s">
        <v>146</v>
      </c>
      <c r="I175" s="3" t="str">
        <f t="shared" si="5"/>
        <v>QUARTER|2025-Q1|QRMP|A</v>
      </c>
    </row>
    <row r="176" spans="1:9" x14ac:dyDescent="0.55000000000000004">
      <c r="A176" s="3" t="s">
        <v>141</v>
      </c>
      <c r="B176" s="3" t="s">
        <v>180</v>
      </c>
      <c r="C176" s="3" t="s">
        <v>143</v>
      </c>
      <c r="D176" s="3" t="s">
        <v>147</v>
      </c>
      <c r="E176" s="6">
        <v>45862</v>
      </c>
      <c r="F176" s="3">
        <v>10</v>
      </c>
      <c r="G176" s="3" t="s">
        <v>145</v>
      </c>
      <c r="H176" s="3" t="s">
        <v>148</v>
      </c>
      <c r="I176" s="3" t="str">
        <f t="shared" si="5"/>
        <v>QUARTER|2025-Q1|QRMP|B</v>
      </c>
    </row>
    <row r="177" spans="1:9" x14ac:dyDescent="0.55000000000000004">
      <c r="A177" s="3" t="s">
        <v>141</v>
      </c>
      <c r="B177" s="3" t="s">
        <v>181</v>
      </c>
      <c r="C177" s="3" t="s">
        <v>143</v>
      </c>
      <c r="D177" s="3" t="s">
        <v>144</v>
      </c>
      <c r="E177" s="6">
        <v>45952</v>
      </c>
      <c r="F177" s="3">
        <v>10</v>
      </c>
      <c r="G177" s="3" t="s">
        <v>145</v>
      </c>
      <c r="H177" s="3" t="s">
        <v>146</v>
      </c>
      <c r="I177" s="3" t="str">
        <f t="shared" si="5"/>
        <v>QUARTER|2025-Q2|QRMP|A</v>
      </c>
    </row>
    <row r="178" spans="1:9" x14ac:dyDescent="0.55000000000000004">
      <c r="A178" s="3" t="s">
        <v>141</v>
      </c>
      <c r="B178" s="3" t="s">
        <v>181</v>
      </c>
      <c r="C178" s="3" t="s">
        <v>143</v>
      </c>
      <c r="D178" s="3" t="s">
        <v>147</v>
      </c>
      <c r="E178" s="6">
        <v>45954</v>
      </c>
      <c r="F178" s="3">
        <v>10</v>
      </c>
      <c r="G178" s="3" t="s">
        <v>145</v>
      </c>
      <c r="H178" s="3" t="s">
        <v>148</v>
      </c>
      <c r="I178" s="3" t="str">
        <f t="shared" si="5"/>
        <v>QUARTER|2025-Q2|QRMP|B</v>
      </c>
    </row>
    <row r="179" spans="1:9" x14ac:dyDescent="0.55000000000000004">
      <c r="A179" s="3" t="s">
        <v>141</v>
      </c>
      <c r="B179" s="3" t="s">
        <v>182</v>
      </c>
      <c r="C179" s="3" t="s">
        <v>143</v>
      </c>
      <c r="D179" s="3" t="s">
        <v>144</v>
      </c>
      <c r="E179" s="6">
        <v>46044</v>
      </c>
      <c r="F179" s="3">
        <v>10</v>
      </c>
      <c r="G179" s="3" t="s">
        <v>145</v>
      </c>
      <c r="H179" s="3" t="s">
        <v>146</v>
      </c>
      <c r="I179" s="3" t="str">
        <f t="shared" si="5"/>
        <v>QUARTER|2025-Q3|QRMP|A</v>
      </c>
    </row>
    <row r="180" spans="1:9" x14ac:dyDescent="0.55000000000000004">
      <c r="A180" s="3" t="s">
        <v>141</v>
      </c>
      <c r="B180" s="3" t="s">
        <v>182</v>
      </c>
      <c r="C180" s="3" t="s">
        <v>143</v>
      </c>
      <c r="D180" s="3" t="s">
        <v>147</v>
      </c>
      <c r="E180" s="6">
        <v>46046</v>
      </c>
      <c r="F180" s="3">
        <v>10</v>
      </c>
      <c r="G180" s="3" t="s">
        <v>145</v>
      </c>
      <c r="H180" s="3" t="s">
        <v>148</v>
      </c>
      <c r="I180" s="3" t="str">
        <f t="shared" si="5"/>
        <v>QUARTER|2025-Q3|QRMP|B</v>
      </c>
    </row>
    <row r="181" spans="1:9" x14ac:dyDescent="0.55000000000000004">
      <c r="A181" s="3" t="s">
        <v>141</v>
      </c>
      <c r="B181" s="3" t="s">
        <v>183</v>
      </c>
      <c r="C181" s="3" t="s">
        <v>143</v>
      </c>
      <c r="D181" s="3" t="s">
        <v>144</v>
      </c>
      <c r="E181" s="6">
        <v>46134</v>
      </c>
      <c r="F181" s="3">
        <v>10</v>
      </c>
      <c r="G181" s="3" t="s">
        <v>145</v>
      </c>
      <c r="H181" s="3" t="s">
        <v>146</v>
      </c>
      <c r="I181" s="3" t="str">
        <f t="shared" si="5"/>
        <v>QUARTER|2025-Q4|QRMP|A</v>
      </c>
    </row>
    <row r="182" spans="1:9" x14ac:dyDescent="0.55000000000000004">
      <c r="A182" s="3" t="s">
        <v>141</v>
      </c>
      <c r="B182" s="3" t="s">
        <v>183</v>
      </c>
      <c r="C182" s="3" t="s">
        <v>143</v>
      </c>
      <c r="D182" s="3" t="s">
        <v>147</v>
      </c>
      <c r="E182" s="6">
        <v>46136</v>
      </c>
      <c r="F182" s="3">
        <v>10</v>
      </c>
      <c r="G182" s="3" t="s">
        <v>145</v>
      </c>
      <c r="H182" s="3" t="s">
        <v>148</v>
      </c>
      <c r="I182" s="3" t="str">
        <f t="shared" si="5"/>
        <v>QUARTER|2025-Q4|QRMP|B</v>
      </c>
    </row>
    <row r="183" spans="1:9" x14ac:dyDescent="0.55000000000000004">
      <c r="A183" s="3" t="s">
        <v>34</v>
      </c>
      <c r="B183" s="3" t="s">
        <v>70</v>
      </c>
      <c r="C183" s="3" t="s">
        <v>36</v>
      </c>
      <c r="D183" s="3" t="s">
        <v>37</v>
      </c>
      <c r="E183" s="6">
        <v>44012</v>
      </c>
      <c r="F183" s="3">
        <v>1</v>
      </c>
      <c r="G183" s="3" t="s">
        <v>184</v>
      </c>
      <c r="H183" s="3" t="s">
        <v>185</v>
      </c>
      <c r="I183" s="3" t="str">
        <f t="shared" si="5"/>
        <v>MONTH|2020-02|MONTHLY|NA</v>
      </c>
    </row>
    <row r="184" spans="1:9" x14ac:dyDescent="0.55000000000000004">
      <c r="A184" s="3" t="s">
        <v>34</v>
      </c>
      <c r="B184" s="3" t="s">
        <v>71</v>
      </c>
      <c r="C184" s="3" t="s">
        <v>36</v>
      </c>
      <c r="D184" s="3" t="s">
        <v>37</v>
      </c>
      <c r="E184" s="6">
        <v>44017</v>
      </c>
      <c r="F184" s="3">
        <v>1</v>
      </c>
      <c r="G184" s="3" t="s">
        <v>184</v>
      </c>
      <c r="H184" s="3" t="s">
        <v>185</v>
      </c>
      <c r="I184" s="3" t="str">
        <f t="shared" si="5"/>
        <v>MONTH|2020-03|MONTHLY|NA</v>
      </c>
    </row>
    <row r="185" spans="1:9" x14ac:dyDescent="0.55000000000000004">
      <c r="A185" s="3" t="s">
        <v>34</v>
      </c>
      <c r="B185" s="3" t="s">
        <v>72</v>
      </c>
      <c r="C185" s="3" t="s">
        <v>36</v>
      </c>
      <c r="D185" s="3" t="s">
        <v>37</v>
      </c>
      <c r="E185" s="6">
        <v>44017</v>
      </c>
      <c r="F185" s="3">
        <v>1</v>
      </c>
      <c r="G185" s="3" t="s">
        <v>184</v>
      </c>
      <c r="H185" s="3" t="s">
        <v>185</v>
      </c>
      <c r="I185" s="3" t="str">
        <f t="shared" si="5"/>
        <v>MONTH|2020-04|MONTHLY|NA</v>
      </c>
    </row>
    <row r="186" spans="1:9" x14ac:dyDescent="0.55000000000000004">
      <c r="A186" s="3" t="s">
        <v>34</v>
      </c>
      <c r="B186" s="3" t="s">
        <v>83</v>
      </c>
      <c r="C186" s="3" t="s">
        <v>36</v>
      </c>
      <c r="D186" s="3" t="s">
        <v>37</v>
      </c>
      <c r="E186" s="6">
        <v>44336</v>
      </c>
      <c r="F186" s="3">
        <v>1</v>
      </c>
      <c r="G186" s="3" t="s">
        <v>186</v>
      </c>
      <c r="H186" s="3" t="s">
        <v>187</v>
      </c>
      <c r="I186" s="3" t="str">
        <f t="shared" si="5"/>
        <v>MONTH|2021-03|MONTHLY|NA</v>
      </c>
    </row>
    <row r="187" spans="1:9" x14ac:dyDescent="0.55000000000000004">
      <c r="A187" s="3" t="s">
        <v>34</v>
      </c>
      <c r="B187" s="3" t="s">
        <v>84</v>
      </c>
      <c r="C187" s="3" t="s">
        <v>36</v>
      </c>
      <c r="D187" s="3" t="s">
        <v>37</v>
      </c>
      <c r="E187" s="6">
        <v>44367</v>
      </c>
      <c r="F187" s="3">
        <v>1</v>
      </c>
      <c r="G187" s="3" t="s">
        <v>186</v>
      </c>
      <c r="H187" s="3" t="s">
        <v>187</v>
      </c>
      <c r="I187" s="3" t="str">
        <f t="shared" si="5"/>
        <v>MONTH|2021-04|MONTHLY|NA</v>
      </c>
    </row>
    <row r="188" spans="1:9" x14ac:dyDescent="0.55000000000000004">
      <c r="A188" s="3" t="s">
        <v>34</v>
      </c>
      <c r="B188" s="3" t="s">
        <v>85</v>
      </c>
      <c r="C188" s="3" t="s">
        <v>36</v>
      </c>
      <c r="D188" s="3" t="s">
        <v>37</v>
      </c>
      <c r="E188" s="6">
        <v>44397</v>
      </c>
      <c r="F188" s="3">
        <v>1</v>
      </c>
      <c r="G188" s="3" t="s">
        <v>186</v>
      </c>
      <c r="H188" s="3" t="s">
        <v>187</v>
      </c>
      <c r="I188" s="3" t="str">
        <f t="shared" si="5"/>
        <v>MONTH|2021-05|MONTHLY|NA</v>
      </c>
    </row>
    <row r="189" spans="1:9" x14ac:dyDescent="0.55000000000000004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55000000000000004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55000000000000004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55000000000000004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55000000000000004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55000000000000004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55000000000000004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55000000000000004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55000000000000004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55000000000000004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55000000000000004">
      <c r="A199" s="3"/>
      <c r="B199" s="3"/>
      <c r="C199" s="3"/>
      <c r="D199" s="3"/>
      <c r="E199" s="3"/>
      <c r="F199" s="3"/>
      <c r="G199" s="3"/>
      <c r="H199" s="3"/>
      <c r="I199" s="3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9"/>
  <sheetViews>
    <sheetView topLeftCell="F1" workbookViewId="0">
      <pane ySplit="8" topLeftCell="A9" activePane="bottomLeft" state="frozen"/>
      <selection pane="bottomLeft" sqref="A1:N1"/>
    </sheetView>
  </sheetViews>
  <sheetFormatPr defaultRowHeight="14.4" x14ac:dyDescent="0.55000000000000004"/>
  <cols>
    <col min="1" max="1" width="8" customWidth="1"/>
    <col min="2" max="2" width="12" customWidth="1"/>
    <col min="3" max="4" width="14" customWidth="1"/>
    <col min="5" max="6" width="22" customWidth="1"/>
    <col min="7" max="7" width="24" customWidth="1"/>
    <col min="8" max="8" width="10" customWidth="1"/>
    <col min="9" max="9" width="12" customWidth="1"/>
    <col min="10" max="10" width="10" customWidth="1"/>
    <col min="11" max="11" width="12" customWidth="1"/>
    <col min="12" max="12" width="18" customWidth="1"/>
    <col min="13" max="13" width="28" customWidth="1"/>
    <col min="14" max="14" width="30" customWidth="1"/>
  </cols>
  <sheetData>
    <row r="1" spans="1:14" x14ac:dyDescent="0.55000000000000004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55000000000000004">
      <c r="A3" s="1" t="s">
        <v>189</v>
      </c>
    </row>
    <row r="4" spans="1:14" x14ac:dyDescent="0.55000000000000004">
      <c r="A4" t="s">
        <v>190</v>
      </c>
    </row>
    <row r="5" spans="1:14" x14ac:dyDescent="0.55000000000000004">
      <c r="A5" t="s">
        <v>191</v>
      </c>
    </row>
    <row r="8" spans="1:14" ht="28.8" x14ac:dyDescent="0.55000000000000004">
      <c r="A8" s="2" t="s">
        <v>30</v>
      </c>
      <c r="B8" s="2" t="s">
        <v>25</v>
      </c>
      <c r="C8" s="2" t="s">
        <v>192</v>
      </c>
      <c r="D8" s="2" t="s">
        <v>193</v>
      </c>
      <c r="E8" s="2" t="s">
        <v>194</v>
      </c>
      <c r="F8" s="2" t="s">
        <v>12</v>
      </c>
      <c r="G8" s="2" t="s">
        <v>195</v>
      </c>
      <c r="H8" s="2" t="s">
        <v>196</v>
      </c>
      <c r="I8" s="2" t="s">
        <v>197</v>
      </c>
      <c r="J8" s="2" t="s">
        <v>198</v>
      </c>
      <c r="K8" s="2" t="s">
        <v>199</v>
      </c>
      <c r="L8" s="2" t="s">
        <v>200</v>
      </c>
      <c r="M8" s="2" t="s">
        <v>31</v>
      </c>
      <c r="N8" s="2" t="s">
        <v>201</v>
      </c>
    </row>
    <row r="9" spans="1:14" ht="28.8" x14ac:dyDescent="0.55000000000000004">
      <c r="A9" s="3">
        <v>1</v>
      </c>
      <c r="B9" s="3" t="s">
        <v>34</v>
      </c>
      <c r="C9" s="3" t="s">
        <v>70</v>
      </c>
      <c r="D9" s="3" t="s">
        <v>72</v>
      </c>
      <c r="E9" s="3" t="s">
        <v>36</v>
      </c>
      <c r="F9" s="3" t="s">
        <v>202</v>
      </c>
      <c r="G9" s="3" t="s">
        <v>203</v>
      </c>
      <c r="H9" s="3">
        <v>15</v>
      </c>
      <c r="I9" s="3">
        <v>0</v>
      </c>
      <c r="J9" s="3">
        <v>9999</v>
      </c>
      <c r="K9" s="3">
        <v>0.09</v>
      </c>
      <c r="L9" s="3">
        <v>0.18</v>
      </c>
      <c r="M9" s="3" t="s">
        <v>204</v>
      </c>
      <c r="N9" s="3" t="s">
        <v>205</v>
      </c>
    </row>
    <row r="10" spans="1:14" ht="28.8" x14ac:dyDescent="0.55000000000000004">
      <c r="A10" s="3">
        <v>1</v>
      </c>
      <c r="B10" s="3" t="s">
        <v>34</v>
      </c>
      <c r="C10" s="3" t="s">
        <v>70</v>
      </c>
      <c r="D10" s="3" t="s">
        <v>72</v>
      </c>
      <c r="E10" s="3" t="s">
        <v>36</v>
      </c>
      <c r="F10" s="3" t="s">
        <v>206</v>
      </c>
      <c r="G10" s="3" t="s">
        <v>203</v>
      </c>
      <c r="H10" s="3">
        <v>15</v>
      </c>
      <c r="I10" s="3">
        <v>0</v>
      </c>
      <c r="J10" s="3">
        <v>9999</v>
      </c>
      <c r="K10" s="3">
        <v>0.09</v>
      </c>
      <c r="L10" s="3">
        <v>0.18</v>
      </c>
      <c r="M10" s="3" t="s">
        <v>204</v>
      </c>
      <c r="N10" s="3" t="s">
        <v>205</v>
      </c>
    </row>
    <row r="11" spans="1:14" ht="28.8" x14ac:dyDescent="0.55000000000000004">
      <c r="A11" s="3">
        <v>1</v>
      </c>
      <c r="B11" s="3" t="s">
        <v>34</v>
      </c>
      <c r="C11" s="3" t="s">
        <v>83</v>
      </c>
      <c r="D11" s="3" t="s">
        <v>85</v>
      </c>
      <c r="E11" s="3" t="s">
        <v>36</v>
      </c>
      <c r="F11" s="3" t="s">
        <v>202</v>
      </c>
      <c r="G11" s="3"/>
      <c r="H11" s="3">
        <v>15</v>
      </c>
      <c r="I11" s="3">
        <v>0</v>
      </c>
      <c r="J11" s="3">
        <v>45</v>
      </c>
      <c r="K11" s="3">
        <v>0.09</v>
      </c>
      <c r="L11" s="3">
        <v>0.18</v>
      </c>
      <c r="M11" s="3" t="s">
        <v>207</v>
      </c>
      <c r="N11" s="3" t="s">
        <v>208</v>
      </c>
    </row>
    <row r="12" spans="1:14" ht="28.8" x14ac:dyDescent="0.55000000000000004">
      <c r="A12" s="3">
        <v>1</v>
      </c>
      <c r="B12" s="3" t="s">
        <v>34</v>
      </c>
      <c r="C12" s="3" t="s">
        <v>83</v>
      </c>
      <c r="D12" s="3" t="s">
        <v>85</v>
      </c>
      <c r="E12" s="3" t="s">
        <v>36</v>
      </c>
      <c r="F12" s="3" t="s">
        <v>206</v>
      </c>
      <c r="G12" s="3"/>
      <c r="H12" s="3">
        <v>15</v>
      </c>
      <c r="I12" s="3">
        <v>0</v>
      </c>
      <c r="J12" s="3">
        <v>60</v>
      </c>
      <c r="K12" s="3">
        <v>0.09</v>
      </c>
      <c r="L12" s="3">
        <v>0.18</v>
      </c>
      <c r="M12" s="3" t="s">
        <v>207</v>
      </c>
      <c r="N12" s="3" t="s">
        <v>208</v>
      </c>
    </row>
    <row r="13" spans="1:14" ht="28.8" x14ac:dyDescent="0.55000000000000004">
      <c r="A13" s="3">
        <v>1</v>
      </c>
      <c r="B13" s="3" t="s">
        <v>141</v>
      </c>
      <c r="C13" s="3" t="s">
        <v>167</v>
      </c>
      <c r="D13" s="3" t="s">
        <v>167</v>
      </c>
      <c r="E13" s="3" t="s">
        <v>143</v>
      </c>
      <c r="F13" s="3" t="s">
        <v>209</v>
      </c>
      <c r="G13" s="3"/>
      <c r="H13" s="3">
        <v>15</v>
      </c>
      <c r="I13" s="3">
        <v>0</v>
      </c>
      <c r="J13" s="3">
        <v>45</v>
      </c>
      <c r="K13" s="3">
        <v>0.09</v>
      </c>
      <c r="L13" s="3">
        <v>0.18</v>
      </c>
      <c r="M13" s="3" t="s">
        <v>207</v>
      </c>
      <c r="N13" s="3" t="s">
        <v>210</v>
      </c>
    </row>
    <row r="14" spans="1:14" x14ac:dyDescent="0.5500000000000000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5500000000000000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5500000000000000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5500000000000000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5500000000000000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5500000000000000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5500000000000000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5500000000000000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5500000000000000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5500000000000000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5500000000000000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5500000000000000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5500000000000000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5500000000000000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5500000000000000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5500000000000000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5500000000000000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5500000000000000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5500000000000000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5500000000000000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5500000000000000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5500000000000000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5500000000000000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5500000000000000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5500000000000000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5500000000000000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5500000000000000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5500000000000000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5500000000000000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5500000000000000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5500000000000000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5500000000000000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5500000000000000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5500000000000000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5500000000000000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5500000000000000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5500000000000000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5500000000000000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5500000000000000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5500000000000000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5500000000000000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5500000000000000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5500000000000000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5500000000000000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5500000000000000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5500000000000000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5500000000000000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5500000000000000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5500000000000000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5500000000000000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5500000000000000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5500000000000000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5500000000000000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5500000000000000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5500000000000000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5500000000000000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5500000000000000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5500000000000000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5500000000000000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5500000000000000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5500000000000000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5500000000000000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5500000000000000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5500000000000000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5500000000000000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5500000000000000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5500000000000000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5500000000000000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5500000000000000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5500000000000000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5500000000000000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5500000000000000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5500000000000000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5500000000000000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5500000000000000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5500000000000000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5500000000000000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5500000000000000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5500000000000000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5500000000000000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5500000000000000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5500000000000000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5500000000000000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5500000000000000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5500000000000000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5500000000000000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550000000000000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5500000000000000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5500000000000000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5500000000000000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5500000000000000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5500000000000000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5500000000000000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5500000000000000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5500000000000000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5500000000000000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5500000000000000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5500000000000000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5500000000000000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5500000000000000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5500000000000000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5500000000000000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5500000000000000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5500000000000000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5500000000000000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5500000000000000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5500000000000000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5500000000000000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5500000000000000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5500000000000000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5500000000000000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5500000000000000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5500000000000000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5500000000000000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5500000000000000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5500000000000000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5500000000000000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5500000000000000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5500000000000000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5500000000000000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5500000000000000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5500000000000000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5500000000000000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5500000000000000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5500000000000000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5500000000000000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5500000000000000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5500000000000000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5500000000000000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5500000000000000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5500000000000000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5500000000000000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5500000000000000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5500000000000000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5500000000000000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5500000000000000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5500000000000000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5500000000000000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5500000000000000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5500000000000000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5500000000000000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5500000000000000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5500000000000000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5500000000000000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5500000000000000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5500000000000000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5500000000000000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5500000000000000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5500000000000000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5500000000000000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5500000000000000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5500000000000000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5500000000000000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5500000000000000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5500000000000000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5500000000000000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5500000000000000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5500000000000000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5500000000000000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5500000000000000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5500000000000000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5500000000000000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5500000000000000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5500000000000000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5500000000000000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5500000000000000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5500000000000000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5500000000000000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5500000000000000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5500000000000000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5500000000000000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5500000000000000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5500000000000000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5500000000000000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5500000000000000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x14ac:dyDescent="0.5500000000000000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5500000000000000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5500000000000000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5500000000000000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5500000000000000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5500000000000000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5500000000000000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3"/>
  <sheetViews>
    <sheetView topLeftCell="C1" workbookViewId="0">
      <pane ySplit="3" topLeftCell="A4" activePane="bottomLeft" state="frozen"/>
      <selection pane="bottomLeft" sqref="A1:S1"/>
    </sheetView>
  </sheetViews>
  <sheetFormatPr defaultRowHeight="14.4" x14ac:dyDescent="0.55000000000000004"/>
  <cols>
    <col min="1" max="1" width="6" customWidth="1"/>
    <col min="2" max="2" width="12" customWidth="1"/>
    <col min="3" max="4" width="14" customWidth="1"/>
    <col min="5" max="5" width="12" customWidth="1"/>
    <col min="6" max="7" width="14" customWidth="1"/>
    <col min="8" max="8" width="16" customWidth="1"/>
    <col min="9" max="9" width="10" customWidth="1"/>
    <col min="10" max="12" width="12" customWidth="1"/>
    <col min="13" max="13" width="24" customWidth="1"/>
    <col min="14" max="19" width="14" customWidth="1"/>
  </cols>
  <sheetData>
    <row r="1" spans="1:19" x14ac:dyDescent="0.55000000000000004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8.8" x14ac:dyDescent="0.55000000000000004">
      <c r="A3" s="2" t="s">
        <v>6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212</v>
      </c>
      <c r="G3" s="2" t="s">
        <v>213</v>
      </c>
      <c r="H3" s="2" t="s">
        <v>214</v>
      </c>
      <c r="I3" s="2" t="s">
        <v>215</v>
      </c>
      <c r="J3" s="2" t="s">
        <v>216</v>
      </c>
      <c r="K3" s="2" t="s">
        <v>217</v>
      </c>
      <c r="L3" s="2" t="s">
        <v>218</v>
      </c>
      <c r="M3" s="2" t="s">
        <v>219</v>
      </c>
      <c r="N3" s="2" t="s">
        <v>220</v>
      </c>
      <c r="O3" s="2" t="s">
        <v>221</v>
      </c>
      <c r="P3" s="2" t="s">
        <v>222</v>
      </c>
      <c r="Q3" s="2" t="s">
        <v>223</v>
      </c>
      <c r="R3" s="2" t="s">
        <v>224</v>
      </c>
      <c r="S3" s="2" t="s">
        <v>225</v>
      </c>
    </row>
    <row r="4" spans="1:19" x14ac:dyDescent="0.55000000000000004">
      <c r="A4" s="3">
        <f>INPUT!A10</f>
        <v>1</v>
      </c>
      <c r="B4" s="3">
        <f>INPUT!B10</f>
        <v>0</v>
      </c>
      <c r="C4" s="3">
        <f>INPUT!C10</f>
        <v>0</v>
      </c>
      <c r="D4" s="3">
        <f>INPUT!D10</f>
        <v>0</v>
      </c>
      <c r="E4" s="3">
        <f>INPUT!E10</f>
        <v>0</v>
      </c>
      <c r="F4" s="3" t="str">
        <f>INPUT!F10</f>
        <v>NA</v>
      </c>
      <c r="G4" s="3">
        <f>INPUT!G10</f>
        <v>0</v>
      </c>
      <c r="H4" s="3" t="str">
        <f ca="1">IF(C4="","",IFERROR(_xludf.XLOOKUP(B4&amp;"|"&amp;C4&amp;"|"&amp;D4&amp;"|"&amp;E4,DUE_DATE_MASTER!I:I,DUE_DATE_MASTER!E:E,""),IF(B4="MONTH",DATE(VALUE(LEFT(C4,4)),VALUE(MID(C4,6,2))+1,20),IF(B4="QUARTER",DATE(YEAR(EOMONTH(INPUT!M10,0)),MONTH(EOMONTH(INPUT!M10,0))+1,IF(E4="A",22,24)),""))))</f>
        <v/>
      </c>
      <c r="I4" s="3" t="str">
        <f t="shared" ref="I4:I35" ca="1" si="0">IF(OR(G4="",H4=""),"",MAX(0,G4-H4))</f>
        <v/>
      </c>
      <c r="J4" s="3">
        <f>INPUT!H10</f>
        <v>0</v>
      </c>
      <c r="K4" s="3">
        <f>INPUT!I10</f>
        <v>0</v>
      </c>
      <c r="L4" s="3">
        <f>INPUT!J10</f>
        <v>0</v>
      </c>
      <c r="M4" s="3"/>
      <c r="N4" s="3"/>
      <c r="O4" s="3"/>
      <c r="P4" s="3"/>
      <c r="Q4" s="3"/>
      <c r="R4" s="3"/>
      <c r="S4" s="3" t="str">
        <f t="shared" ref="S4:S35" si="1">IF(P4="","",P4+Q4+R4)</f>
        <v/>
      </c>
    </row>
    <row r="5" spans="1:19" x14ac:dyDescent="0.55000000000000004">
      <c r="A5" s="3">
        <f>INPUT!A11</f>
        <v>2</v>
      </c>
      <c r="B5" s="3">
        <f>INPUT!B11</f>
        <v>0</v>
      </c>
      <c r="C5" s="3">
        <f>INPUT!C11</f>
        <v>0</v>
      </c>
      <c r="D5" s="3">
        <f>INPUT!D11</f>
        <v>0</v>
      </c>
      <c r="E5" s="3">
        <f>INPUT!E11</f>
        <v>0</v>
      </c>
      <c r="F5" s="3" t="str">
        <f>INPUT!F11</f>
        <v>NA</v>
      </c>
      <c r="G5" s="3">
        <f>INPUT!G11</f>
        <v>0</v>
      </c>
      <c r="H5" s="3" t="str">
        <f ca="1">IF(C5="","",IFERROR(_xludf.XLOOKUP(B5&amp;"|"&amp;C5&amp;"|"&amp;D5&amp;"|"&amp;E5,DUE_DATE_MASTER!I:I,DUE_DATE_MASTER!E:E,""),IF(B5="MONTH",DATE(VALUE(LEFT(C5,4)),VALUE(MID(C5,6,2))+1,20),IF(B5="QUARTER",DATE(YEAR(EOMONTH(INPUT!M11,0)),MONTH(EOMONTH(INPUT!M11,0))+1,IF(E5="A",22,24)),""))))</f>
        <v/>
      </c>
      <c r="I5" s="3" t="str">
        <f t="shared" ca="1" si="0"/>
        <v/>
      </c>
      <c r="J5" s="3">
        <f>INPUT!H11</f>
        <v>0</v>
      </c>
      <c r="K5" s="3">
        <f>INPUT!I11</f>
        <v>0</v>
      </c>
      <c r="L5" s="3">
        <f>INPUT!J11</f>
        <v>0</v>
      </c>
      <c r="M5" s="3"/>
      <c r="N5" s="3"/>
      <c r="O5" s="3"/>
      <c r="P5" s="3"/>
      <c r="Q5" s="3"/>
      <c r="R5" s="3"/>
      <c r="S5" s="3" t="str">
        <f t="shared" si="1"/>
        <v/>
      </c>
    </row>
    <row r="6" spans="1:19" x14ac:dyDescent="0.55000000000000004">
      <c r="A6" s="3">
        <f>INPUT!A12</f>
        <v>3</v>
      </c>
      <c r="B6" s="3">
        <f>INPUT!B12</f>
        <v>0</v>
      </c>
      <c r="C6" s="3">
        <f>INPUT!C12</f>
        <v>0</v>
      </c>
      <c r="D6" s="3">
        <f>INPUT!D12</f>
        <v>0</v>
      </c>
      <c r="E6" s="3">
        <f>INPUT!E12</f>
        <v>0</v>
      </c>
      <c r="F6" s="3" t="str">
        <f>INPUT!F12</f>
        <v>NA</v>
      </c>
      <c r="G6" s="3">
        <f>INPUT!G12</f>
        <v>0</v>
      </c>
      <c r="H6" s="3" t="str">
        <f ca="1">IF(C6="","",IFERROR(_xludf.XLOOKUP(B6&amp;"|"&amp;C6&amp;"|"&amp;D6&amp;"|"&amp;E6,DUE_DATE_MASTER!I:I,DUE_DATE_MASTER!E:E,""),IF(B6="MONTH",DATE(VALUE(LEFT(C6,4)),VALUE(MID(C6,6,2))+1,20),IF(B6="QUARTER",DATE(YEAR(EOMONTH(INPUT!M12,0)),MONTH(EOMONTH(INPUT!M12,0))+1,IF(E6="A",22,24)),""))))</f>
        <v/>
      </c>
      <c r="I6" s="3" t="str">
        <f t="shared" ca="1" si="0"/>
        <v/>
      </c>
      <c r="J6" s="3">
        <f>INPUT!H12</f>
        <v>0</v>
      </c>
      <c r="K6" s="3">
        <f>INPUT!I12</f>
        <v>0</v>
      </c>
      <c r="L6" s="3">
        <f>INPUT!J12</f>
        <v>0</v>
      </c>
      <c r="M6" s="3"/>
      <c r="N6" s="3"/>
      <c r="O6" s="3"/>
      <c r="P6" s="3"/>
      <c r="Q6" s="3"/>
      <c r="R6" s="3"/>
      <c r="S6" s="3" t="str">
        <f t="shared" si="1"/>
        <v/>
      </c>
    </row>
    <row r="7" spans="1:19" x14ac:dyDescent="0.55000000000000004">
      <c r="A7" s="3">
        <f>INPUT!A13</f>
        <v>4</v>
      </c>
      <c r="B7" s="3">
        <f>INPUT!B13</f>
        <v>0</v>
      </c>
      <c r="C7" s="3">
        <f>INPUT!C13</f>
        <v>0</v>
      </c>
      <c r="D7" s="3">
        <f>INPUT!D13</f>
        <v>0</v>
      </c>
      <c r="E7" s="3">
        <f>INPUT!E13</f>
        <v>0</v>
      </c>
      <c r="F7" s="3" t="str">
        <f>INPUT!F13</f>
        <v>NA</v>
      </c>
      <c r="G7" s="3">
        <f>INPUT!G13</f>
        <v>0</v>
      </c>
      <c r="H7" s="3" t="str">
        <f ca="1">IF(C7="","",IFERROR(_xludf.XLOOKUP(B7&amp;"|"&amp;C7&amp;"|"&amp;D7&amp;"|"&amp;E7,DUE_DATE_MASTER!I:I,DUE_DATE_MASTER!E:E,""),IF(B7="MONTH",DATE(VALUE(LEFT(C7,4)),VALUE(MID(C7,6,2))+1,20),IF(B7="QUARTER",DATE(YEAR(EOMONTH(INPUT!M13,0)),MONTH(EOMONTH(INPUT!M13,0))+1,IF(E7="A",22,24)),""))))</f>
        <v/>
      </c>
      <c r="I7" s="3" t="str">
        <f t="shared" ca="1" si="0"/>
        <v/>
      </c>
      <c r="J7" s="3">
        <f>INPUT!H13</f>
        <v>0</v>
      </c>
      <c r="K7" s="3">
        <f>INPUT!I13</f>
        <v>0</v>
      </c>
      <c r="L7" s="3">
        <f>INPUT!J13</f>
        <v>0</v>
      </c>
      <c r="M7" s="3"/>
      <c r="N7" s="3"/>
      <c r="O7" s="3"/>
      <c r="P7" s="3"/>
      <c r="Q7" s="3"/>
      <c r="R7" s="3"/>
      <c r="S7" s="3" t="str">
        <f t="shared" si="1"/>
        <v/>
      </c>
    </row>
    <row r="8" spans="1:19" x14ac:dyDescent="0.55000000000000004">
      <c r="A8" s="3">
        <f>INPUT!A14</f>
        <v>5</v>
      </c>
      <c r="B8" s="3">
        <f>INPUT!B14</f>
        <v>0</v>
      </c>
      <c r="C8" s="3">
        <f>INPUT!C14</f>
        <v>0</v>
      </c>
      <c r="D8" s="3">
        <f>INPUT!D14</f>
        <v>0</v>
      </c>
      <c r="E8" s="3">
        <f>INPUT!E14</f>
        <v>0</v>
      </c>
      <c r="F8" s="3" t="str">
        <f>INPUT!F14</f>
        <v>NA</v>
      </c>
      <c r="G8" s="3">
        <f>INPUT!G14</f>
        <v>0</v>
      </c>
      <c r="H8" s="3" t="str">
        <f ca="1">IF(C8="","",IFERROR(_xludf.XLOOKUP(B8&amp;"|"&amp;C8&amp;"|"&amp;D8&amp;"|"&amp;E8,DUE_DATE_MASTER!I:I,DUE_DATE_MASTER!E:E,""),IF(B8="MONTH",DATE(VALUE(LEFT(C8,4)),VALUE(MID(C8,6,2))+1,20),IF(B8="QUARTER",DATE(YEAR(EOMONTH(INPUT!M14,0)),MONTH(EOMONTH(INPUT!M14,0))+1,IF(E8="A",22,24)),""))))</f>
        <v/>
      </c>
      <c r="I8" s="3" t="str">
        <f t="shared" ca="1" si="0"/>
        <v/>
      </c>
      <c r="J8" s="3">
        <f>INPUT!H14</f>
        <v>0</v>
      </c>
      <c r="K8" s="3">
        <f>INPUT!I14</f>
        <v>0</v>
      </c>
      <c r="L8" s="3">
        <f>INPUT!J14</f>
        <v>0</v>
      </c>
      <c r="M8" s="3"/>
      <c r="N8" s="3"/>
      <c r="O8" s="3"/>
      <c r="P8" s="3"/>
      <c r="Q8" s="3"/>
      <c r="R8" s="3"/>
      <c r="S8" s="3" t="str">
        <f t="shared" si="1"/>
        <v/>
      </c>
    </row>
    <row r="9" spans="1:19" x14ac:dyDescent="0.55000000000000004">
      <c r="A9" s="3">
        <f>INPUT!A15</f>
        <v>6</v>
      </c>
      <c r="B9" s="3">
        <f>INPUT!B15</f>
        <v>0</v>
      </c>
      <c r="C9" s="3">
        <f>INPUT!C15</f>
        <v>0</v>
      </c>
      <c r="D9" s="3">
        <f>INPUT!D15</f>
        <v>0</v>
      </c>
      <c r="E9" s="3">
        <f>INPUT!E15</f>
        <v>0</v>
      </c>
      <c r="F9" s="3" t="str">
        <f>INPUT!F15</f>
        <v>NA</v>
      </c>
      <c r="G9" s="3">
        <f>INPUT!G15</f>
        <v>0</v>
      </c>
      <c r="H9" s="3" t="str">
        <f ca="1">IF(C9="","",IFERROR(_xludf.XLOOKUP(B9&amp;"|"&amp;C9&amp;"|"&amp;D9&amp;"|"&amp;E9,DUE_DATE_MASTER!I:I,DUE_DATE_MASTER!E:E,""),IF(B9="MONTH",DATE(VALUE(LEFT(C9,4)),VALUE(MID(C9,6,2))+1,20),IF(B9="QUARTER",DATE(YEAR(EOMONTH(INPUT!M15,0)),MONTH(EOMONTH(INPUT!M15,0))+1,IF(E9="A",22,24)),""))))</f>
        <v/>
      </c>
      <c r="I9" s="3" t="str">
        <f t="shared" ca="1" si="0"/>
        <v/>
      </c>
      <c r="J9" s="3">
        <f>INPUT!H15</f>
        <v>0</v>
      </c>
      <c r="K9" s="3">
        <f>INPUT!I15</f>
        <v>0</v>
      </c>
      <c r="L9" s="3">
        <f>INPUT!J15</f>
        <v>0</v>
      </c>
      <c r="M9" s="3"/>
      <c r="N9" s="3"/>
      <c r="O9" s="3"/>
      <c r="P9" s="3"/>
      <c r="Q9" s="3"/>
      <c r="R9" s="3"/>
      <c r="S9" s="3" t="str">
        <f t="shared" si="1"/>
        <v/>
      </c>
    </row>
    <row r="10" spans="1:19" x14ac:dyDescent="0.55000000000000004">
      <c r="A10" s="3">
        <f>INPUT!A16</f>
        <v>7</v>
      </c>
      <c r="B10" s="3">
        <f>INPUT!B16</f>
        <v>0</v>
      </c>
      <c r="C10" s="3">
        <f>INPUT!C16</f>
        <v>0</v>
      </c>
      <c r="D10" s="3">
        <f>INPUT!D16</f>
        <v>0</v>
      </c>
      <c r="E10" s="3">
        <f>INPUT!E16</f>
        <v>0</v>
      </c>
      <c r="F10" s="3" t="str">
        <f>INPUT!F16</f>
        <v>NA</v>
      </c>
      <c r="G10" s="3">
        <f>INPUT!G16</f>
        <v>0</v>
      </c>
      <c r="H10" s="3" t="str">
        <f ca="1">IF(C10="","",IFERROR(_xludf.XLOOKUP(B10&amp;"|"&amp;C10&amp;"|"&amp;D10&amp;"|"&amp;E10,DUE_DATE_MASTER!I:I,DUE_DATE_MASTER!E:E,""),IF(B10="MONTH",DATE(VALUE(LEFT(C10,4)),VALUE(MID(C10,6,2))+1,20),IF(B10="QUARTER",DATE(YEAR(EOMONTH(INPUT!M16,0)),MONTH(EOMONTH(INPUT!M16,0))+1,IF(E10="A",22,24)),""))))</f>
        <v/>
      </c>
      <c r="I10" s="3" t="str">
        <f t="shared" ca="1" si="0"/>
        <v/>
      </c>
      <c r="J10" s="3">
        <f>INPUT!H16</f>
        <v>0</v>
      </c>
      <c r="K10" s="3">
        <f>INPUT!I16</f>
        <v>0</v>
      </c>
      <c r="L10" s="3">
        <f>INPUT!J16</f>
        <v>0</v>
      </c>
      <c r="M10" s="3"/>
      <c r="N10" s="3"/>
      <c r="O10" s="3"/>
      <c r="P10" s="3"/>
      <c r="Q10" s="3"/>
      <c r="R10" s="3"/>
      <c r="S10" s="3" t="str">
        <f t="shared" si="1"/>
        <v/>
      </c>
    </row>
    <row r="11" spans="1:19" x14ac:dyDescent="0.55000000000000004">
      <c r="A11" s="3">
        <f>INPUT!A17</f>
        <v>8</v>
      </c>
      <c r="B11" s="3">
        <f>INPUT!B17</f>
        <v>0</v>
      </c>
      <c r="C11" s="3">
        <f>INPUT!C17</f>
        <v>0</v>
      </c>
      <c r="D11" s="3">
        <f>INPUT!D17</f>
        <v>0</v>
      </c>
      <c r="E11" s="3">
        <f>INPUT!E17</f>
        <v>0</v>
      </c>
      <c r="F11" s="3" t="str">
        <f>INPUT!F17</f>
        <v>NA</v>
      </c>
      <c r="G11" s="3">
        <f>INPUT!G17</f>
        <v>0</v>
      </c>
      <c r="H11" s="3" t="str">
        <f ca="1">IF(C11="","",IFERROR(_xludf.XLOOKUP(B11&amp;"|"&amp;C11&amp;"|"&amp;D11&amp;"|"&amp;E11,DUE_DATE_MASTER!I:I,DUE_DATE_MASTER!E:E,""),IF(B11="MONTH",DATE(VALUE(LEFT(C11,4)),VALUE(MID(C11,6,2))+1,20),IF(B11="QUARTER",DATE(YEAR(EOMONTH(INPUT!M17,0)),MONTH(EOMONTH(INPUT!M17,0))+1,IF(E11="A",22,24)),""))))</f>
        <v/>
      </c>
      <c r="I11" s="3" t="str">
        <f t="shared" ca="1" si="0"/>
        <v/>
      </c>
      <c r="J11" s="3">
        <f>INPUT!H17</f>
        <v>0</v>
      </c>
      <c r="K11" s="3">
        <f>INPUT!I17</f>
        <v>0</v>
      </c>
      <c r="L11" s="3">
        <f>INPUT!J17</f>
        <v>0</v>
      </c>
      <c r="M11" s="3"/>
      <c r="N11" s="3"/>
      <c r="O11" s="3"/>
      <c r="P11" s="3"/>
      <c r="Q11" s="3"/>
      <c r="R11" s="3"/>
      <c r="S11" s="3" t="str">
        <f t="shared" si="1"/>
        <v/>
      </c>
    </row>
    <row r="12" spans="1:19" x14ac:dyDescent="0.55000000000000004">
      <c r="A12" s="3">
        <f>INPUT!A18</f>
        <v>9</v>
      </c>
      <c r="B12" s="3">
        <f>INPUT!B18</f>
        <v>0</v>
      </c>
      <c r="C12" s="3">
        <f>INPUT!C18</f>
        <v>0</v>
      </c>
      <c r="D12" s="3">
        <f>INPUT!D18</f>
        <v>0</v>
      </c>
      <c r="E12" s="3">
        <f>INPUT!E18</f>
        <v>0</v>
      </c>
      <c r="F12" s="3" t="str">
        <f>INPUT!F18</f>
        <v>NA</v>
      </c>
      <c r="G12" s="3">
        <f>INPUT!G18</f>
        <v>0</v>
      </c>
      <c r="H12" s="3" t="str">
        <f ca="1">IF(C12="","",IFERROR(_xludf.XLOOKUP(B12&amp;"|"&amp;C12&amp;"|"&amp;D12&amp;"|"&amp;E12,DUE_DATE_MASTER!I:I,DUE_DATE_MASTER!E:E,""),IF(B12="MONTH",DATE(VALUE(LEFT(C12,4)),VALUE(MID(C12,6,2))+1,20),IF(B12="QUARTER",DATE(YEAR(EOMONTH(INPUT!M18,0)),MONTH(EOMONTH(INPUT!M18,0))+1,IF(E12="A",22,24)),""))))</f>
        <v/>
      </c>
      <c r="I12" s="3" t="str">
        <f t="shared" ca="1" si="0"/>
        <v/>
      </c>
      <c r="J12" s="3">
        <f>INPUT!H18</f>
        <v>0</v>
      </c>
      <c r="K12" s="3">
        <f>INPUT!I18</f>
        <v>0</v>
      </c>
      <c r="L12" s="3">
        <f>INPUT!J18</f>
        <v>0</v>
      </c>
      <c r="M12" s="3"/>
      <c r="N12" s="3"/>
      <c r="O12" s="3"/>
      <c r="P12" s="3"/>
      <c r="Q12" s="3"/>
      <c r="R12" s="3"/>
      <c r="S12" s="3" t="str">
        <f t="shared" si="1"/>
        <v/>
      </c>
    </row>
    <row r="13" spans="1:19" x14ac:dyDescent="0.55000000000000004">
      <c r="A13" s="3">
        <f>INPUT!A19</f>
        <v>10</v>
      </c>
      <c r="B13" s="3">
        <f>INPUT!B19</f>
        <v>0</v>
      </c>
      <c r="C13" s="3">
        <f>INPUT!C19</f>
        <v>0</v>
      </c>
      <c r="D13" s="3">
        <f>INPUT!D19</f>
        <v>0</v>
      </c>
      <c r="E13" s="3">
        <f>INPUT!E19</f>
        <v>0</v>
      </c>
      <c r="F13" s="3" t="str">
        <f>INPUT!F19</f>
        <v>NA</v>
      </c>
      <c r="G13" s="3">
        <f>INPUT!G19</f>
        <v>0</v>
      </c>
      <c r="H13" s="3" t="str">
        <f ca="1">IF(C13="","",IFERROR(_xludf.XLOOKUP(B13&amp;"|"&amp;C13&amp;"|"&amp;D13&amp;"|"&amp;E13,DUE_DATE_MASTER!I:I,DUE_DATE_MASTER!E:E,""),IF(B13="MONTH",DATE(VALUE(LEFT(C13,4)),VALUE(MID(C13,6,2))+1,20),IF(B13="QUARTER",DATE(YEAR(EOMONTH(INPUT!M19,0)),MONTH(EOMONTH(INPUT!M19,0))+1,IF(E13="A",22,24)),""))))</f>
        <v/>
      </c>
      <c r="I13" s="3" t="str">
        <f t="shared" ca="1" si="0"/>
        <v/>
      </c>
      <c r="J13" s="3">
        <f>INPUT!H19</f>
        <v>0</v>
      </c>
      <c r="K13" s="3">
        <f>INPUT!I19</f>
        <v>0</v>
      </c>
      <c r="L13" s="3">
        <f>INPUT!J19</f>
        <v>0</v>
      </c>
      <c r="M13" s="3"/>
      <c r="N13" s="3"/>
      <c r="O13" s="3"/>
      <c r="P13" s="3"/>
      <c r="Q13" s="3"/>
      <c r="R13" s="3"/>
      <c r="S13" s="3" t="str">
        <f t="shared" si="1"/>
        <v/>
      </c>
    </row>
    <row r="14" spans="1:19" x14ac:dyDescent="0.55000000000000004">
      <c r="A14" s="3">
        <f>INPUT!A20</f>
        <v>11</v>
      </c>
      <c r="B14" s="3">
        <f>INPUT!B20</f>
        <v>0</v>
      </c>
      <c r="C14" s="3">
        <f>INPUT!C20</f>
        <v>0</v>
      </c>
      <c r="D14" s="3">
        <f>INPUT!D20</f>
        <v>0</v>
      </c>
      <c r="E14" s="3">
        <f>INPUT!E20</f>
        <v>0</v>
      </c>
      <c r="F14" s="3" t="str">
        <f>INPUT!F20</f>
        <v>NA</v>
      </c>
      <c r="G14" s="3">
        <f>INPUT!G20</f>
        <v>0</v>
      </c>
      <c r="H14" s="3" t="str">
        <f ca="1">IF(C14="","",IFERROR(_xludf.XLOOKUP(B14&amp;"|"&amp;C14&amp;"|"&amp;D14&amp;"|"&amp;E14,DUE_DATE_MASTER!I:I,DUE_DATE_MASTER!E:E,""),IF(B14="MONTH",DATE(VALUE(LEFT(C14,4)),VALUE(MID(C14,6,2))+1,20),IF(B14="QUARTER",DATE(YEAR(EOMONTH(INPUT!M20,0)),MONTH(EOMONTH(INPUT!M20,0))+1,IF(E14="A",22,24)),""))))</f>
        <v/>
      </c>
      <c r="I14" s="3" t="str">
        <f t="shared" ca="1" si="0"/>
        <v/>
      </c>
      <c r="J14" s="3">
        <f>INPUT!H20</f>
        <v>0</v>
      </c>
      <c r="K14" s="3">
        <f>INPUT!I20</f>
        <v>0</v>
      </c>
      <c r="L14" s="3">
        <f>INPUT!J20</f>
        <v>0</v>
      </c>
      <c r="M14" s="3"/>
      <c r="N14" s="3"/>
      <c r="O14" s="3"/>
      <c r="P14" s="3"/>
      <c r="Q14" s="3"/>
      <c r="R14" s="3"/>
      <c r="S14" s="3" t="str">
        <f t="shared" si="1"/>
        <v/>
      </c>
    </row>
    <row r="15" spans="1:19" x14ac:dyDescent="0.55000000000000004">
      <c r="A15" s="3">
        <f>INPUT!A21</f>
        <v>12</v>
      </c>
      <c r="B15" s="3">
        <f>INPUT!B21</f>
        <v>0</v>
      </c>
      <c r="C15" s="3">
        <f>INPUT!C21</f>
        <v>0</v>
      </c>
      <c r="D15" s="3">
        <f>INPUT!D21</f>
        <v>0</v>
      </c>
      <c r="E15" s="3">
        <f>INPUT!E21</f>
        <v>0</v>
      </c>
      <c r="F15" s="3" t="str">
        <f>INPUT!F21</f>
        <v>NA</v>
      </c>
      <c r="G15" s="3">
        <f>INPUT!G21</f>
        <v>0</v>
      </c>
      <c r="H15" s="3" t="str">
        <f ca="1">IF(C15="","",IFERROR(_xludf.XLOOKUP(B15&amp;"|"&amp;C15&amp;"|"&amp;D15&amp;"|"&amp;E15,DUE_DATE_MASTER!I:I,DUE_DATE_MASTER!E:E,""),IF(B15="MONTH",DATE(VALUE(LEFT(C15,4)),VALUE(MID(C15,6,2))+1,20),IF(B15="QUARTER",DATE(YEAR(EOMONTH(INPUT!M21,0)),MONTH(EOMONTH(INPUT!M21,0))+1,IF(E15="A",22,24)),""))))</f>
        <v/>
      </c>
      <c r="I15" s="3" t="str">
        <f t="shared" ca="1" si="0"/>
        <v/>
      </c>
      <c r="J15" s="3">
        <f>INPUT!H21</f>
        <v>0</v>
      </c>
      <c r="K15" s="3">
        <f>INPUT!I21</f>
        <v>0</v>
      </c>
      <c r="L15" s="3">
        <f>INPUT!J21</f>
        <v>0</v>
      </c>
      <c r="M15" s="3"/>
      <c r="N15" s="3"/>
      <c r="O15" s="3"/>
      <c r="P15" s="3"/>
      <c r="Q15" s="3"/>
      <c r="R15" s="3"/>
      <c r="S15" s="3" t="str">
        <f t="shared" si="1"/>
        <v/>
      </c>
    </row>
    <row r="16" spans="1:19" x14ac:dyDescent="0.55000000000000004">
      <c r="A16" s="3">
        <f>INPUT!A22</f>
        <v>13</v>
      </c>
      <c r="B16" s="3">
        <f>INPUT!B22</f>
        <v>0</v>
      </c>
      <c r="C16" s="3">
        <f>INPUT!C22</f>
        <v>0</v>
      </c>
      <c r="D16" s="3">
        <f>INPUT!D22</f>
        <v>0</v>
      </c>
      <c r="E16" s="3">
        <f>INPUT!E22</f>
        <v>0</v>
      </c>
      <c r="F16" s="3" t="str">
        <f>INPUT!F22</f>
        <v>NA</v>
      </c>
      <c r="G16" s="3">
        <f>INPUT!G22</f>
        <v>0</v>
      </c>
      <c r="H16" s="3" t="str">
        <f ca="1">IF(C16="","",IFERROR(_xludf.XLOOKUP(B16&amp;"|"&amp;C16&amp;"|"&amp;D16&amp;"|"&amp;E16,DUE_DATE_MASTER!I:I,DUE_DATE_MASTER!E:E,""),IF(B16="MONTH",DATE(VALUE(LEFT(C16,4)),VALUE(MID(C16,6,2))+1,20),IF(B16="QUARTER",DATE(YEAR(EOMONTH(INPUT!M22,0)),MONTH(EOMONTH(INPUT!M22,0))+1,IF(E16="A",22,24)),""))))</f>
        <v/>
      </c>
      <c r="I16" s="3" t="str">
        <f t="shared" ca="1" si="0"/>
        <v/>
      </c>
      <c r="J16" s="3">
        <f>INPUT!H22</f>
        <v>0</v>
      </c>
      <c r="K16" s="3">
        <f>INPUT!I22</f>
        <v>0</v>
      </c>
      <c r="L16" s="3">
        <f>INPUT!J22</f>
        <v>0</v>
      </c>
      <c r="M16" s="3"/>
      <c r="N16" s="3"/>
      <c r="O16" s="3"/>
      <c r="P16" s="3"/>
      <c r="Q16" s="3"/>
      <c r="R16" s="3"/>
      <c r="S16" s="3" t="str">
        <f t="shared" si="1"/>
        <v/>
      </c>
    </row>
    <row r="17" spans="1:19" x14ac:dyDescent="0.55000000000000004">
      <c r="A17" s="3">
        <f>INPUT!A23</f>
        <v>14</v>
      </c>
      <c r="B17" s="3">
        <f>INPUT!B23</f>
        <v>0</v>
      </c>
      <c r="C17" s="3">
        <f>INPUT!C23</f>
        <v>0</v>
      </c>
      <c r="D17" s="3">
        <f>INPUT!D23</f>
        <v>0</v>
      </c>
      <c r="E17" s="3">
        <f>INPUT!E23</f>
        <v>0</v>
      </c>
      <c r="F17" s="3" t="str">
        <f>INPUT!F23</f>
        <v>NA</v>
      </c>
      <c r="G17" s="3">
        <f>INPUT!G23</f>
        <v>0</v>
      </c>
      <c r="H17" s="3" t="str">
        <f ca="1">IF(C17="","",IFERROR(_xludf.XLOOKUP(B17&amp;"|"&amp;C17&amp;"|"&amp;D17&amp;"|"&amp;E17,DUE_DATE_MASTER!I:I,DUE_DATE_MASTER!E:E,""),IF(B17="MONTH",DATE(VALUE(LEFT(C17,4)),VALUE(MID(C17,6,2))+1,20),IF(B17="QUARTER",DATE(YEAR(EOMONTH(INPUT!M23,0)),MONTH(EOMONTH(INPUT!M23,0))+1,IF(E17="A",22,24)),""))))</f>
        <v/>
      </c>
      <c r="I17" s="3" t="str">
        <f t="shared" ca="1" si="0"/>
        <v/>
      </c>
      <c r="J17" s="3">
        <f>INPUT!H23</f>
        <v>0</v>
      </c>
      <c r="K17" s="3">
        <f>INPUT!I23</f>
        <v>0</v>
      </c>
      <c r="L17" s="3">
        <f>INPUT!J23</f>
        <v>0</v>
      </c>
      <c r="M17" s="3"/>
      <c r="N17" s="3"/>
      <c r="O17" s="3"/>
      <c r="P17" s="3"/>
      <c r="Q17" s="3"/>
      <c r="R17" s="3"/>
      <c r="S17" s="3" t="str">
        <f t="shared" si="1"/>
        <v/>
      </c>
    </row>
    <row r="18" spans="1:19" x14ac:dyDescent="0.55000000000000004">
      <c r="A18" s="3">
        <f>INPUT!A24</f>
        <v>15</v>
      </c>
      <c r="B18" s="3">
        <f>INPUT!B24</f>
        <v>0</v>
      </c>
      <c r="C18" s="3">
        <f>INPUT!C24</f>
        <v>0</v>
      </c>
      <c r="D18" s="3">
        <f>INPUT!D24</f>
        <v>0</v>
      </c>
      <c r="E18" s="3">
        <f>INPUT!E24</f>
        <v>0</v>
      </c>
      <c r="F18" s="3" t="str">
        <f>INPUT!F24</f>
        <v>NA</v>
      </c>
      <c r="G18" s="3">
        <f>INPUT!G24</f>
        <v>0</v>
      </c>
      <c r="H18" s="3" t="str">
        <f ca="1">IF(C18="","",IFERROR(_xludf.XLOOKUP(B18&amp;"|"&amp;C18&amp;"|"&amp;D18&amp;"|"&amp;E18,DUE_DATE_MASTER!I:I,DUE_DATE_MASTER!E:E,""),IF(B18="MONTH",DATE(VALUE(LEFT(C18,4)),VALUE(MID(C18,6,2))+1,20),IF(B18="QUARTER",DATE(YEAR(EOMONTH(INPUT!M24,0)),MONTH(EOMONTH(INPUT!M24,0))+1,IF(E18="A",22,24)),""))))</f>
        <v/>
      </c>
      <c r="I18" s="3" t="str">
        <f t="shared" ca="1" si="0"/>
        <v/>
      </c>
      <c r="J18" s="3">
        <f>INPUT!H24</f>
        <v>0</v>
      </c>
      <c r="K18" s="3">
        <f>INPUT!I24</f>
        <v>0</v>
      </c>
      <c r="L18" s="3">
        <f>INPUT!J24</f>
        <v>0</v>
      </c>
      <c r="M18" s="3"/>
      <c r="N18" s="3"/>
      <c r="O18" s="3"/>
      <c r="P18" s="3"/>
      <c r="Q18" s="3"/>
      <c r="R18" s="3"/>
      <c r="S18" s="3" t="str">
        <f t="shared" si="1"/>
        <v/>
      </c>
    </row>
    <row r="19" spans="1:19" x14ac:dyDescent="0.55000000000000004">
      <c r="A19" s="3">
        <f>INPUT!A25</f>
        <v>16</v>
      </c>
      <c r="B19" s="3">
        <f>INPUT!B25</f>
        <v>0</v>
      </c>
      <c r="C19" s="3">
        <f>INPUT!C25</f>
        <v>0</v>
      </c>
      <c r="D19" s="3">
        <f>INPUT!D25</f>
        <v>0</v>
      </c>
      <c r="E19" s="3">
        <f>INPUT!E25</f>
        <v>0</v>
      </c>
      <c r="F19" s="3" t="str">
        <f>INPUT!F25</f>
        <v>NA</v>
      </c>
      <c r="G19" s="3">
        <f>INPUT!G25</f>
        <v>0</v>
      </c>
      <c r="H19" s="3" t="str">
        <f ca="1">IF(C19="","",IFERROR(_xludf.XLOOKUP(B19&amp;"|"&amp;C19&amp;"|"&amp;D19&amp;"|"&amp;E19,DUE_DATE_MASTER!I:I,DUE_DATE_MASTER!E:E,""),IF(B19="MONTH",DATE(VALUE(LEFT(C19,4)),VALUE(MID(C19,6,2))+1,20),IF(B19="QUARTER",DATE(YEAR(EOMONTH(INPUT!M25,0)),MONTH(EOMONTH(INPUT!M25,0))+1,IF(E19="A",22,24)),""))))</f>
        <v/>
      </c>
      <c r="I19" s="3" t="str">
        <f t="shared" ca="1" si="0"/>
        <v/>
      </c>
      <c r="J19" s="3">
        <f>INPUT!H25</f>
        <v>0</v>
      </c>
      <c r="K19" s="3">
        <f>INPUT!I25</f>
        <v>0</v>
      </c>
      <c r="L19" s="3">
        <f>INPUT!J25</f>
        <v>0</v>
      </c>
      <c r="M19" s="3"/>
      <c r="N19" s="3"/>
      <c r="O19" s="3"/>
      <c r="P19" s="3"/>
      <c r="Q19" s="3"/>
      <c r="R19" s="3"/>
      <c r="S19" s="3" t="str">
        <f t="shared" si="1"/>
        <v/>
      </c>
    </row>
    <row r="20" spans="1:19" x14ac:dyDescent="0.55000000000000004">
      <c r="A20" s="3">
        <f>INPUT!A26</f>
        <v>17</v>
      </c>
      <c r="B20" s="3">
        <f>INPUT!B26</f>
        <v>0</v>
      </c>
      <c r="C20" s="3">
        <f>INPUT!C26</f>
        <v>0</v>
      </c>
      <c r="D20" s="3">
        <f>INPUT!D26</f>
        <v>0</v>
      </c>
      <c r="E20" s="3">
        <f>INPUT!E26</f>
        <v>0</v>
      </c>
      <c r="F20" s="3" t="str">
        <f>INPUT!F26</f>
        <v>NA</v>
      </c>
      <c r="G20" s="3">
        <f>INPUT!G26</f>
        <v>0</v>
      </c>
      <c r="H20" s="3" t="str">
        <f ca="1">IF(C20="","",IFERROR(_xludf.XLOOKUP(B20&amp;"|"&amp;C20&amp;"|"&amp;D20&amp;"|"&amp;E20,DUE_DATE_MASTER!I:I,DUE_DATE_MASTER!E:E,""),IF(B20="MONTH",DATE(VALUE(LEFT(C20,4)),VALUE(MID(C20,6,2))+1,20),IF(B20="QUARTER",DATE(YEAR(EOMONTH(INPUT!M26,0)),MONTH(EOMONTH(INPUT!M26,0))+1,IF(E20="A",22,24)),""))))</f>
        <v/>
      </c>
      <c r="I20" s="3" t="str">
        <f t="shared" ca="1" si="0"/>
        <v/>
      </c>
      <c r="J20" s="3">
        <f>INPUT!H26</f>
        <v>0</v>
      </c>
      <c r="K20" s="3">
        <f>INPUT!I26</f>
        <v>0</v>
      </c>
      <c r="L20" s="3">
        <f>INPUT!J26</f>
        <v>0</v>
      </c>
      <c r="M20" s="3"/>
      <c r="N20" s="3"/>
      <c r="O20" s="3"/>
      <c r="P20" s="3"/>
      <c r="Q20" s="3"/>
      <c r="R20" s="3"/>
      <c r="S20" s="3" t="str">
        <f t="shared" si="1"/>
        <v/>
      </c>
    </row>
    <row r="21" spans="1:19" x14ac:dyDescent="0.55000000000000004">
      <c r="A21" s="3">
        <f>INPUT!A27</f>
        <v>18</v>
      </c>
      <c r="B21" s="3">
        <f>INPUT!B27</f>
        <v>0</v>
      </c>
      <c r="C21" s="3">
        <f>INPUT!C27</f>
        <v>0</v>
      </c>
      <c r="D21" s="3">
        <f>INPUT!D27</f>
        <v>0</v>
      </c>
      <c r="E21" s="3">
        <f>INPUT!E27</f>
        <v>0</v>
      </c>
      <c r="F21" s="3" t="str">
        <f>INPUT!F27</f>
        <v>NA</v>
      </c>
      <c r="G21" s="3">
        <f>INPUT!G27</f>
        <v>0</v>
      </c>
      <c r="H21" s="3" t="str">
        <f ca="1">IF(C21="","",IFERROR(_xludf.XLOOKUP(B21&amp;"|"&amp;C21&amp;"|"&amp;D21&amp;"|"&amp;E21,DUE_DATE_MASTER!I:I,DUE_DATE_MASTER!E:E,""),IF(B21="MONTH",DATE(VALUE(LEFT(C21,4)),VALUE(MID(C21,6,2))+1,20),IF(B21="QUARTER",DATE(YEAR(EOMONTH(INPUT!M27,0)),MONTH(EOMONTH(INPUT!M27,0))+1,IF(E21="A",22,24)),""))))</f>
        <v/>
      </c>
      <c r="I21" s="3" t="str">
        <f t="shared" ca="1" si="0"/>
        <v/>
      </c>
      <c r="J21" s="3">
        <f>INPUT!H27</f>
        <v>0</v>
      </c>
      <c r="K21" s="3">
        <f>INPUT!I27</f>
        <v>0</v>
      </c>
      <c r="L21" s="3">
        <f>INPUT!J27</f>
        <v>0</v>
      </c>
      <c r="M21" s="3"/>
      <c r="N21" s="3"/>
      <c r="O21" s="3"/>
      <c r="P21" s="3"/>
      <c r="Q21" s="3"/>
      <c r="R21" s="3"/>
      <c r="S21" s="3" t="str">
        <f t="shared" si="1"/>
        <v/>
      </c>
    </row>
    <row r="22" spans="1:19" x14ac:dyDescent="0.55000000000000004">
      <c r="A22" s="3">
        <f>INPUT!A28</f>
        <v>19</v>
      </c>
      <c r="B22" s="3">
        <f>INPUT!B28</f>
        <v>0</v>
      </c>
      <c r="C22" s="3">
        <f>INPUT!C28</f>
        <v>0</v>
      </c>
      <c r="D22" s="3">
        <f>INPUT!D28</f>
        <v>0</v>
      </c>
      <c r="E22" s="3">
        <f>INPUT!E28</f>
        <v>0</v>
      </c>
      <c r="F22" s="3" t="str">
        <f>INPUT!F28</f>
        <v>NA</v>
      </c>
      <c r="G22" s="3">
        <f>INPUT!G28</f>
        <v>0</v>
      </c>
      <c r="H22" s="3" t="str">
        <f ca="1">IF(C22="","",IFERROR(_xludf.XLOOKUP(B22&amp;"|"&amp;C22&amp;"|"&amp;D22&amp;"|"&amp;E22,DUE_DATE_MASTER!I:I,DUE_DATE_MASTER!E:E,""),IF(B22="MONTH",DATE(VALUE(LEFT(C22,4)),VALUE(MID(C22,6,2))+1,20),IF(B22="QUARTER",DATE(YEAR(EOMONTH(INPUT!M28,0)),MONTH(EOMONTH(INPUT!M28,0))+1,IF(E22="A",22,24)),""))))</f>
        <v/>
      </c>
      <c r="I22" s="3" t="str">
        <f t="shared" ca="1" si="0"/>
        <v/>
      </c>
      <c r="J22" s="3">
        <f>INPUT!H28</f>
        <v>0</v>
      </c>
      <c r="K22" s="3">
        <f>INPUT!I28</f>
        <v>0</v>
      </c>
      <c r="L22" s="3">
        <f>INPUT!J28</f>
        <v>0</v>
      </c>
      <c r="M22" s="3"/>
      <c r="N22" s="3"/>
      <c r="O22" s="3"/>
      <c r="P22" s="3"/>
      <c r="Q22" s="3"/>
      <c r="R22" s="3"/>
      <c r="S22" s="3" t="str">
        <f t="shared" si="1"/>
        <v/>
      </c>
    </row>
    <row r="23" spans="1:19" x14ac:dyDescent="0.55000000000000004">
      <c r="A23" s="3">
        <f>INPUT!A29</f>
        <v>20</v>
      </c>
      <c r="B23" s="3">
        <f>INPUT!B29</f>
        <v>0</v>
      </c>
      <c r="C23" s="3">
        <f>INPUT!C29</f>
        <v>0</v>
      </c>
      <c r="D23" s="3">
        <f>INPUT!D29</f>
        <v>0</v>
      </c>
      <c r="E23" s="3">
        <f>INPUT!E29</f>
        <v>0</v>
      </c>
      <c r="F23" s="3" t="str">
        <f>INPUT!F29</f>
        <v>NA</v>
      </c>
      <c r="G23" s="3">
        <f>INPUT!G29</f>
        <v>0</v>
      </c>
      <c r="H23" s="3" t="str">
        <f ca="1">IF(C23="","",IFERROR(_xludf.XLOOKUP(B23&amp;"|"&amp;C23&amp;"|"&amp;D23&amp;"|"&amp;E23,DUE_DATE_MASTER!I:I,DUE_DATE_MASTER!E:E,""),IF(B23="MONTH",DATE(VALUE(LEFT(C23,4)),VALUE(MID(C23,6,2))+1,20),IF(B23="QUARTER",DATE(YEAR(EOMONTH(INPUT!M29,0)),MONTH(EOMONTH(INPUT!M29,0))+1,IF(E23="A",22,24)),""))))</f>
        <v/>
      </c>
      <c r="I23" s="3" t="str">
        <f t="shared" ca="1" si="0"/>
        <v/>
      </c>
      <c r="J23" s="3">
        <f>INPUT!H29</f>
        <v>0</v>
      </c>
      <c r="K23" s="3">
        <f>INPUT!I29</f>
        <v>0</v>
      </c>
      <c r="L23" s="3">
        <f>INPUT!J29</f>
        <v>0</v>
      </c>
      <c r="M23" s="3"/>
      <c r="N23" s="3"/>
      <c r="O23" s="3"/>
      <c r="P23" s="3"/>
      <c r="Q23" s="3"/>
      <c r="R23" s="3"/>
      <c r="S23" s="3" t="str">
        <f t="shared" si="1"/>
        <v/>
      </c>
    </row>
    <row r="24" spans="1:19" x14ac:dyDescent="0.55000000000000004">
      <c r="A24" s="3">
        <f>INPUT!A30</f>
        <v>21</v>
      </c>
      <c r="B24" s="3">
        <f>INPUT!B30</f>
        <v>0</v>
      </c>
      <c r="C24" s="3">
        <f>INPUT!C30</f>
        <v>0</v>
      </c>
      <c r="D24" s="3">
        <f>INPUT!D30</f>
        <v>0</v>
      </c>
      <c r="E24" s="3">
        <f>INPUT!E30</f>
        <v>0</v>
      </c>
      <c r="F24" s="3" t="str">
        <f>INPUT!F30</f>
        <v>NA</v>
      </c>
      <c r="G24" s="3">
        <f>INPUT!G30</f>
        <v>0</v>
      </c>
      <c r="H24" s="3" t="str">
        <f ca="1">IF(C24="","",IFERROR(_xludf.XLOOKUP(B24&amp;"|"&amp;C24&amp;"|"&amp;D24&amp;"|"&amp;E24,DUE_DATE_MASTER!I:I,DUE_DATE_MASTER!E:E,""),IF(B24="MONTH",DATE(VALUE(LEFT(C24,4)),VALUE(MID(C24,6,2))+1,20),IF(B24="QUARTER",DATE(YEAR(EOMONTH(INPUT!M30,0)),MONTH(EOMONTH(INPUT!M30,0))+1,IF(E24="A",22,24)),""))))</f>
        <v/>
      </c>
      <c r="I24" s="3" t="str">
        <f t="shared" ca="1" si="0"/>
        <v/>
      </c>
      <c r="J24" s="3">
        <f>INPUT!H30</f>
        <v>0</v>
      </c>
      <c r="K24" s="3">
        <f>INPUT!I30</f>
        <v>0</v>
      </c>
      <c r="L24" s="3">
        <f>INPUT!J30</f>
        <v>0</v>
      </c>
      <c r="M24" s="3"/>
      <c r="N24" s="3"/>
      <c r="O24" s="3"/>
      <c r="P24" s="3"/>
      <c r="Q24" s="3"/>
      <c r="R24" s="3"/>
      <c r="S24" s="3" t="str">
        <f t="shared" si="1"/>
        <v/>
      </c>
    </row>
    <row r="25" spans="1:19" x14ac:dyDescent="0.55000000000000004">
      <c r="A25" s="3">
        <f>INPUT!A31</f>
        <v>22</v>
      </c>
      <c r="B25" s="3">
        <f>INPUT!B31</f>
        <v>0</v>
      </c>
      <c r="C25" s="3">
        <f>INPUT!C31</f>
        <v>0</v>
      </c>
      <c r="D25" s="3">
        <f>INPUT!D31</f>
        <v>0</v>
      </c>
      <c r="E25" s="3">
        <f>INPUT!E31</f>
        <v>0</v>
      </c>
      <c r="F25" s="3" t="str">
        <f>INPUT!F31</f>
        <v>NA</v>
      </c>
      <c r="G25" s="3">
        <f>INPUT!G31</f>
        <v>0</v>
      </c>
      <c r="H25" s="3" t="str">
        <f ca="1">IF(C25="","",IFERROR(_xludf.XLOOKUP(B25&amp;"|"&amp;C25&amp;"|"&amp;D25&amp;"|"&amp;E25,DUE_DATE_MASTER!I:I,DUE_DATE_MASTER!E:E,""),IF(B25="MONTH",DATE(VALUE(LEFT(C25,4)),VALUE(MID(C25,6,2))+1,20),IF(B25="QUARTER",DATE(YEAR(EOMONTH(INPUT!M31,0)),MONTH(EOMONTH(INPUT!M31,0))+1,IF(E25="A",22,24)),""))))</f>
        <v/>
      </c>
      <c r="I25" s="3" t="str">
        <f t="shared" ca="1" si="0"/>
        <v/>
      </c>
      <c r="J25" s="3">
        <f>INPUT!H31</f>
        <v>0</v>
      </c>
      <c r="K25" s="3">
        <f>INPUT!I31</f>
        <v>0</v>
      </c>
      <c r="L25" s="3">
        <f>INPUT!J31</f>
        <v>0</v>
      </c>
      <c r="M25" s="3"/>
      <c r="N25" s="3"/>
      <c r="O25" s="3"/>
      <c r="P25" s="3"/>
      <c r="Q25" s="3"/>
      <c r="R25" s="3"/>
      <c r="S25" s="3" t="str">
        <f t="shared" si="1"/>
        <v/>
      </c>
    </row>
    <row r="26" spans="1:19" x14ac:dyDescent="0.55000000000000004">
      <c r="A26" s="3">
        <f>INPUT!A32</f>
        <v>23</v>
      </c>
      <c r="B26" s="3">
        <f>INPUT!B32</f>
        <v>0</v>
      </c>
      <c r="C26" s="3">
        <f>INPUT!C32</f>
        <v>0</v>
      </c>
      <c r="D26" s="3">
        <f>INPUT!D32</f>
        <v>0</v>
      </c>
      <c r="E26" s="3">
        <f>INPUT!E32</f>
        <v>0</v>
      </c>
      <c r="F26" s="3" t="str">
        <f>INPUT!F32</f>
        <v>NA</v>
      </c>
      <c r="G26" s="3">
        <f>INPUT!G32</f>
        <v>0</v>
      </c>
      <c r="H26" s="3" t="str">
        <f ca="1">IF(C26="","",IFERROR(_xludf.XLOOKUP(B26&amp;"|"&amp;C26&amp;"|"&amp;D26&amp;"|"&amp;E26,DUE_DATE_MASTER!I:I,DUE_DATE_MASTER!E:E,""),IF(B26="MONTH",DATE(VALUE(LEFT(C26,4)),VALUE(MID(C26,6,2))+1,20),IF(B26="QUARTER",DATE(YEAR(EOMONTH(INPUT!M32,0)),MONTH(EOMONTH(INPUT!M32,0))+1,IF(E26="A",22,24)),""))))</f>
        <v/>
      </c>
      <c r="I26" s="3" t="str">
        <f t="shared" ca="1" si="0"/>
        <v/>
      </c>
      <c r="J26" s="3">
        <f>INPUT!H32</f>
        <v>0</v>
      </c>
      <c r="K26" s="3">
        <f>INPUT!I32</f>
        <v>0</v>
      </c>
      <c r="L26" s="3">
        <f>INPUT!J32</f>
        <v>0</v>
      </c>
      <c r="M26" s="3"/>
      <c r="N26" s="3"/>
      <c r="O26" s="3"/>
      <c r="P26" s="3"/>
      <c r="Q26" s="3"/>
      <c r="R26" s="3"/>
      <c r="S26" s="3" t="str">
        <f t="shared" si="1"/>
        <v/>
      </c>
    </row>
    <row r="27" spans="1:19" x14ac:dyDescent="0.55000000000000004">
      <c r="A27" s="3">
        <f>INPUT!A33</f>
        <v>24</v>
      </c>
      <c r="B27" s="3">
        <f>INPUT!B33</f>
        <v>0</v>
      </c>
      <c r="C27" s="3">
        <f>INPUT!C33</f>
        <v>0</v>
      </c>
      <c r="D27" s="3">
        <f>INPUT!D33</f>
        <v>0</v>
      </c>
      <c r="E27" s="3">
        <f>INPUT!E33</f>
        <v>0</v>
      </c>
      <c r="F27" s="3" t="str">
        <f>INPUT!F33</f>
        <v>NA</v>
      </c>
      <c r="G27" s="3">
        <f>INPUT!G33</f>
        <v>0</v>
      </c>
      <c r="H27" s="3" t="str">
        <f ca="1">IF(C27="","",IFERROR(_xludf.XLOOKUP(B27&amp;"|"&amp;C27&amp;"|"&amp;D27&amp;"|"&amp;E27,DUE_DATE_MASTER!I:I,DUE_DATE_MASTER!E:E,""),IF(B27="MONTH",DATE(VALUE(LEFT(C27,4)),VALUE(MID(C27,6,2))+1,20),IF(B27="QUARTER",DATE(YEAR(EOMONTH(INPUT!M33,0)),MONTH(EOMONTH(INPUT!M33,0))+1,IF(E27="A",22,24)),""))))</f>
        <v/>
      </c>
      <c r="I27" s="3" t="str">
        <f t="shared" ca="1" si="0"/>
        <v/>
      </c>
      <c r="J27" s="3">
        <f>INPUT!H33</f>
        <v>0</v>
      </c>
      <c r="K27" s="3">
        <f>INPUT!I33</f>
        <v>0</v>
      </c>
      <c r="L27" s="3">
        <f>INPUT!J33</f>
        <v>0</v>
      </c>
      <c r="M27" s="3"/>
      <c r="N27" s="3"/>
      <c r="O27" s="3"/>
      <c r="P27" s="3"/>
      <c r="Q27" s="3"/>
      <c r="R27" s="3"/>
      <c r="S27" s="3" t="str">
        <f t="shared" si="1"/>
        <v/>
      </c>
    </row>
    <row r="28" spans="1:19" x14ac:dyDescent="0.55000000000000004">
      <c r="A28" s="3">
        <f>INPUT!A34</f>
        <v>25</v>
      </c>
      <c r="B28" s="3">
        <f>INPUT!B34</f>
        <v>0</v>
      </c>
      <c r="C28" s="3">
        <f>INPUT!C34</f>
        <v>0</v>
      </c>
      <c r="D28" s="3">
        <f>INPUT!D34</f>
        <v>0</v>
      </c>
      <c r="E28" s="3">
        <f>INPUT!E34</f>
        <v>0</v>
      </c>
      <c r="F28" s="3" t="str">
        <f>INPUT!F34</f>
        <v>NA</v>
      </c>
      <c r="G28" s="3">
        <f>INPUT!G34</f>
        <v>0</v>
      </c>
      <c r="H28" s="3" t="str">
        <f ca="1">IF(C28="","",IFERROR(_xludf.XLOOKUP(B28&amp;"|"&amp;C28&amp;"|"&amp;D28&amp;"|"&amp;E28,DUE_DATE_MASTER!I:I,DUE_DATE_MASTER!E:E,""),IF(B28="MONTH",DATE(VALUE(LEFT(C28,4)),VALUE(MID(C28,6,2))+1,20),IF(B28="QUARTER",DATE(YEAR(EOMONTH(INPUT!M34,0)),MONTH(EOMONTH(INPUT!M34,0))+1,IF(E28="A",22,24)),""))))</f>
        <v/>
      </c>
      <c r="I28" s="3" t="str">
        <f t="shared" ca="1" si="0"/>
        <v/>
      </c>
      <c r="J28" s="3">
        <f>INPUT!H34</f>
        <v>0</v>
      </c>
      <c r="K28" s="3">
        <f>INPUT!I34</f>
        <v>0</v>
      </c>
      <c r="L28" s="3">
        <f>INPUT!J34</f>
        <v>0</v>
      </c>
      <c r="M28" s="3"/>
      <c r="N28" s="3"/>
      <c r="O28" s="3"/>
      <c r="P28" s="3"/>
      <c r="Q28" s="3"/>
      <c r="R28" s="3"/>
      <c r="S28" s="3" t="str">
        <f t="shared" si="1"/>
        <v/>
      </c>
    </row>
    <row r="29" spans="1:19" x14ac:dyDescent="0.55000000000000004">
      <c r="A29" s="3">
        <f>INPUT!A35</f>
        <v>26</v>
      </c>
      <c r="B29" s="3">
        <f>INPUT!B35</f>
        <v>0</v>
      </c>
      <c r="C29" s="3">
        <f>INPUT!C35</f>
        <v>0</v>
      </c>
      <c r="D29" s="3">
        <f>INPUT!D35</f>
        <v>0</v>
      </c>
      <c r="E29" s="3">
        <f>INPUT!E35</f>
        <v>0</v>
      </c>
      <c r="F29" s="3" t="str">
        <f>INPUT!F35</f>
        <v>NA</v>
      </c>
      <c r="G29" s="3">
        <f>INPUT!G35</f>
        <v>0</v>
      </c>
      <c r="H29" s="3" t="str">
        <f ca="1">IF(C29="","",IFERROR(_xludf.XLOOKUP(B29&amp;"|"&amp;C29&amp;"|"&amp;D29&amp;"|"&amp;E29,DUE_DATE_MASTER!I:I,DUE_DATE_MASTER!E:E,""),IF(B29="MONTH",DATE(VALUE(LEFT(C29,4)),VALUE(MID(C29,6,2))+1,20),IF(B29="QUARTER",DATE(YEAR(EOMONTH(INPUT!M35,0)),MONTH(EOMONTH(INPUT!M35,0))+1,IF(E29="A",22,24)),""))))</f>
        <v/>
      </c>
      <c r="I29" s="3" t="str">
        <f t="shared" ca="1" si="0"/>
        <v/>
      </c>
      <c r="J29" s="3">
        <f>INPUT!H35</f>
        <v>0</v>
      </c>
      <c r="K29" s="3">
        <f>INPUT!I35</f>
        <v>0</v>
      </c>
      <c r="L29" s="3">
        <f>INPUT!J35</f>
        <v>0</v>
      </c>
      <c r="M29" s="3"/>
      <c r="N29" s="3"/>
      <c r="O29" s="3"/>
      <c r="P29" s="3"/>
      <c r="Q29" s="3"/>
      <c r="R29" s="3"/>
      <c r="S29" s="3" t="str">
        <f t="shared" si="1"/>
        <v/>
      </c>
    </row>
    <row r="30" spans="1:19" x14ac:dyDescent="0.55000000000000004">
      <c r="A30" s="3">
        <f>INPUT!A36</f>
        <v>27</v>
      </c>
      <c r="B30" s="3">
        <f>INPUT!B36</f>
        <v>0</v>
      </c>
      <c r="C30" s="3">
        <f>INPUT!C36</f>
        <v>0</v>
      </c>
      <c r="D30" s="3">
        <f>INPUT!D36</f>
        <v>0</v>
      </c>
      <c r="E30" s="3">
        <f>INPUT!E36</f>
        <v>0</v>
      </c>
      <c r="F30" s="3" t="str">
        <f>INPUT!F36</f>
        <v>NA</v>
      </c>
      <c r="G30" s="3">
        <f>INPUT!G36</f>
        <v>0</v>
      </c>
      <c r="H30" s="3" t="str">
        <f ca="1">IF(C30="","",IFERROR(_xludf.XLOOKUP(B30&amp;"|"&amp;C30&amp;"|"&amp;D30&amp;"|"&amp;E30,DUE_DATE_MASTER!I:I,DUE_DATE_MASTER!E:E,""),IF(B30="MONTH",DATE(VALUE(LEFT(C30,4)),VALUE(MID(C30,6,2))+1,20),IF(B30="QUARTER",DATE(YEAR(EOMONTH(INPUT!M36,0)),MONTH(EOMONTH(INPUT!M36,0))+1,IF(E30="A",22,24)),""))))</f>
        <v/>
      </c>
      <c r="I30" s="3" t="str">
        <f t="shared" ca="1" si="0"/>
        <v/>
      </c>
      <c r="J30" s="3">
        <f>INPUT!H36</f>
        <v>0</v>
      </c>
      <c r="K30" s="3">
        <f>INPUT!I36</f>
        <v>0</v>
      </c>
      <c r="L30" s="3">
        <f>INPUT!J36</f>
        <v>0</v>
      </c>
      <c r="M30" s="3"/>
      <c r="N30" s="3"/>
      <c r="O30" s="3"/>
      <c r="P30" s="3"/>
      <c r="Q30" s="3"/>
      <c r="R30" s="3"/>
      <c r="S30" s="3" t="str">
        <f t="shared" si="1"/>
        <v/>
      </c>
    </row>
    <row r="31" spans="1:19" x14ac:dyDescent="0.55000000000000004">
      <c r="A31" s="3">
        <f>INPUT!A37</f>
        <v>28</v>
      </c>
      <c r="B31" s="3">
        <f>INPUT!B37</f>
        <v>0</v>
      </c>
      <c r="C31" s="3">
        <f>INPUT!C37</f>
        <v>0</v>
      </c>
      <c r="D31" s="3">
        <f>INPUT!D37</f>
        <v>0</v>
      </c>
      <c r="E31" s="3">
        <f>INPUT!E37</f>
        <v>0</v>
      </c>
      <c r="F31" s="3" t="str">
        <f>INPUT!F37</f>
        <v>NA</v>
      </c>
      <c r="G31" s="3">
        <f>INPUT!G37</f>
        <v>0</v>
      </c>
      <c r="H31" s="3" t="str">
        <f ca="1">IF(C31="","",IFERROR(_xludf.XLOOKUP(B31&amp;"|"&amp;C31&amp;"|"&amp;D31&amp;"|"&amp;E31,DUE_DATE_MASTER!I:I,DUE_DATE_MASTER!E:E,""),IF(B31="MONTH",DATE(VALUE(LEFT(C31,4)),VALUE(MID(C31,6,2))+1,20),IF(B31="QUARTER",DATE(YEAR(EOMONTH(INPUT!M37,0)),MONTH(EOMONTH(INPUT!M37,0))+1,IF(E31="A",22,24)),""))))</f>
        <v/>
      </c>
      <c r="I31" s="3" t="str">
        <f t="shared" ca="1" si="0"/>
        <v/>
      </c>
      <c r="J31" s="3">
        <f>INPUT!H37</f>
        <v>0</v>
      </c>
      <c r="K31" s="3">
        <f>INPUT!I37</f>
        <v>0</v>
      </c>
      <c r="L31" s="3">
        <f>INPUT!J37</f>
        <v>0</v>
      </c>
      <c r="M31" s="3"/>
      <c r="N31" s="3"/>
      <c r="O31" s="3"/>
      <c r="P31" s="3"/>
      <c r="Q31" s="3"/>
      <c r="R31" s="3"/>
      <c r="S31" s="3" t="str">
        <f t="shared" si="1"/>
        <v/>
      </c>
    </row>
    <row r="32" spans="1:19" x14ac:dyDescent="0.55000000000000004">
      <c r="A32" s="3">
        <f>INPUT!A38</f>
        <v>29</v>
      </c>
      <c r="B32" s="3">
        <f>INPUT!B38</f>
        <v>0</v>
      </c>
      <c r="C32" s="3">
        <f>INPUT!C38</f>
        <v>0</v>
      </c>
      <c r="D32" s="3">
        <f>INPUT!D38</f>
        <v>0</v>
      </c>
      <c r="E32" s="3">
        <f>INPUT!E38</f>
        <v>0</v>
      </c>
      <c r="F32" s="3" t="str">
        <f>INPUT!F38</f>
        <v>NA</v>
      </c>
      <c r="G32" s="3">
        <f>INPUT!G38</f>
        <v>0</v>
      </c>
      <c r="H32" s="3" t="str">
        <f ca="1">IF(C32="","",IFERROR(_xludf.XLOOKUP(B32&amp;"|"&amp;C32&amp;"|"&amp;D32&amp;"|"&amp;E32,DUE_DATE_MASTER!I:I,DUE_DATE_MASTER!E:E,""),IF(B32="MONTH",DATE(VALUE(LEFT(C32,4)),VALUE(MID(C32,6,2))+1,20),IF(B32="QUARTER",DATE(YEAR(EOMONTH(INPUT!M38,0)),MONTH(EOMONTH(INPUT!M38,0))+1,IF(E32="A",22,24)),""))))</f>
        <v/>
      </c>
      <c r="I32" s="3" t="str">
        <f t="shared" ca="1" si="0"/>
        <v/>
      </c>
      <c r="J32" s="3">
        <f>INPUT!H38</f>
        <v>0</v>
      </c>
      <c r="K32" s="3">
        <f>INPUT!I38</f>
        <v>0</v>
      </c>
      <c r="L32" s="3">
        <f>INPUT!J38</f>
        <v>0</v>
      </c>
      <c r="M32" s="3"/>
      <c r="N32" s="3"/>
      <c r="O32" s="3"/>
      <c r="P32" s="3"/>
      <c r="Q32" s="3"/>
      <c r="R32" s="3"/>
      <c r="S32" s="3" t="str">
        <f t="shared" si="1"/>
        <v/>
      </c>
    </row>
    <row r="33" spans="1:19" x14ac:dyDescent="0.55000000000000004">
      <c r="A33" s="3">
        <f>INPUT!A39</f>
        <v>30</v>
      </c>
      <c r="B33" s="3">
        <f>INPUT!B39</f>
        <v>0</v>
      </c>
      <c r="C33" s="3">
        <f>INPUT!C39</f>
        <v>0</v>
      </c>
      <c r="D33" s="3">
        <f>INPUT!D39</f>
        <v>0</v>
      </c>
      <c r="E33" s="3">
        <f>INPUT!E39</f>
        <v>0</v>
      </c>
      <c r="F33" s="3" t="str">
        <f>INPUT!F39</f>
        <v>NA</v>
      </c>
      <c r="G33" s="3">
        <f>INPUT!G39</f>
        <v>0</v>
      </c>
      <c r="H33" s="3" t="str">
        <f ca="1">IF(C33="","",IFERROR(_xludf.XLOOKUP(B33&amp;"|"&amp;C33&amp;"|"&amp;D33&amp;"|"&amp;E33,DUE_DATE_MASTER!I:I,DUE_DATE_MASTER!E:E,""),IF(B33="MONTH",DATE(VALUE(LEFT(C33,4)),VALUE(MID(C33,6,2))+1,20),IF(B33="QUARTER",DATE(YEAR(EOMONTH(INPUT!M39,0)),MONTH(EOMONTH(INPUT!M39,0))+1,IF(E33="A",22,24)),""))))</f>
        <v/>
      </c>
      <c r="I33" s="3" t="str">
        <f t="shared" ca="1" si="0"/>
        <v/>
      </c>
      <c r="J33" s="3">
        <f>INPUT!H39</f>
        <v>0</v>
      </c>
      <c r="K33" s="3">
        <f>INPUT!I39</f>
        <v>0</v>
      </c>
      <c r="L33" s="3">
        <f>INPUT!J39</f>
        <v>0</v>
      </c>
      <c r="M33" s="3"/>
      <c r="N33" s="3"/>
      <c r="O33" s="3"/>
      <c r="P33" s="3"/>
      <c r="Q33" s="3"/>
      <c r="R33" s="3"/>
      <c r="S33" s="3" t="str">
        <f t="shared" si="1"/>
        <v/>
      </c>
    </row>
    <row r="34" spans="1:19" x14ac:dyDescent="0.55000000000000004">
      <c r="A34" s="3">
        <f>INPUT!A40</f>
        <v>31</v>
      </c>
      <c r="B34" s="3">
        <f>INPUT!B40</f>
        <v>0</v>
      </c>
      <c r="C34" s="3">
        <f>INPUT!C40</f>
        <v>0</v>
      </c>
      <c r="D34" s="3">
        <f>INPUT!D40</f>
        <v>0</v>
      </c>
      <c r="E34" s="3">
        <f>INPUT!E40</f>
        <v>0</v>
      </c>
      <c r="F34" s="3" t="str">
        <f>INPUT!F40</f>
        <v>NA</v>
      </c>
      <c r="G34" s="3">
        <f>INPUT!G40</f>
        <v>0</v>
      </c>
      <c r="H34" s="3" t="str">
        <f ca="1">IF(C34="","",IFERROR(_xludf.XLOOKUP(B34&amp;"|"&amp;C34&amp;"|"&amp;D34&amp;"|"&amp;E34,DUE_DATE_MASTER!I:I,DUE_DATE_MASTER!E:E,""),IF(B34="MONTH",DATE(VALUE(LEFT(C34,4)),VALUE(MID(C34,6,2))+1,20),IF(B34="QUARTER",DATE(YEAR(EOMONTH(INPUT!M40,0)),MONTH(EOMONTH(INPUT!M40,0))+1,IF(E34="A",22,24)),""))))</f>
        <v/>
      </c>
      <c r="I34" s="3" t="str">
        <f t="shared" ca="1" si="0"/>
        <v/>
      </c>
      <c r="J34" s="3">
        <f>INPUT!H40</f>
        <v>0</v>
      </c>
      <c r="K34" s="3">
        <f>INPUT!I40</f>
        <v>0</v>
      </c>
      <c r="L34" s="3">
        <f>INPUT!J40</f>
        <v>0</v>
      </c>
      <c r="M34" s="3"/>
      <c r="N34" s="3"/>
      <c r="O34" s="3"/>
      <c r="P34" s="3"/>
      <c r="Q34" s="3"/>
      <c r="R34" s="3"/>
      <c r="S34" s="3" t="str">
        <f t="shared" si="1"/>
        <v/>
      </c>
    </row>
    <row r="35" spans="1:19" x14ac:dyDescent="0.55000000000000004">
      <c r="A35" s="3">
        <f>INPUT!A41</f>
        <v>32</v>
      </c>
      <c r="B35" s="3">
        <f>INPUT!B41</f>
        <v>0</v>
      </c>
      <c r="C35" s="3">
        <f>INPUT!C41</f>
        <v>0</v>
      </c>
      <c r="D35" s="3">
        <f>INPUT!D41</f>
        <v>0</v>
      </c>
      <c r="E35" s="3">
        <f>INPUT!E41</f>
        <v>0</v>
      </c>
      <c r="F35" s="3" t="str">
        <f>INPUT!F41</f>
        <v>NA</v>
      </c>
      <c r="G35" s="3">
        <f>INPUT!G41</f>
        <v>0</v>
      </c>
      <c r="H35" s="3" t="str">
        <f ca="1">IF(C35="","",IFERROR(_xludf.XLOOKUP(B35&amp;"|"&amp;C35&amp;"|"&amp;D35&amp;"|"&amp;E35,DUE_DATE_MASTER!I:I,DUE_DATE_MASTER!E:E,""),IF(B35="MONTH",DATE(VALUE(LEFT(C35,4)),VALUE(MID(C35,6,2))+1,20),IF(B35="QUARTER",DATE(YEAR(EOMONTH(INPUT!M41,0)),MONTH(EOMONTH(INPUT!M41,0))+1,IF(E35="A",22,24)),""))))</f>
        <v/>
      </c>
      <c r="I35" s="3" t="str">
        <f t="shared" ca="1" si="0"/>
        <v/>
      </c>
      <c r="J35" s="3">
        <f>INPUT!H41</f>
        <v>0</v>
      </c>
      <c r="K35" s="3">
        <f>INPUT!I41</f>
        <v>0</v>
      </c>
      <c r="L35" s="3">
        <f>INPUT!J41</f>
        <v>0</v>
      </c>
      <c r="M35" s="3"/>
      <c r="N35" s="3"/>
      <c r="O35" s="3"/>
      <c r="P35" s="3"/>
      <c r="Q35" s="3"/>
      <c r="R35" s="3"/>
      <c r="S35" s="3" t="str">
        <f t="shared" si="1"/>
        <v/>
      </c>
    </row>
    <row r="36" spans="1:19" x14ac:dyDescent="0.55000000000000004">
      <c r="A36" s="3">
        <f>INPUT!A42</f>
        <v>33</v>
      </c>
      <c r="B36" s="3">
        <f>INPUT!B42</f>
        <v>0</v>
      </c>
      <c r="C36" s="3">
        <f>INPUT!C42</f>
        <v>0</v>
      </c>
      <c r="D36" s="3">
        <f>INPUT!D42</f>
        <v>0</v>
      </c>
      <c r="E36" s="3">
        <f>INPUT!E42</f>
        <v>0</v>
      </c>
      <c r="F36" s="3" t="str">
        <f>INPUT!F42</f>
        <v>NA</v>
      </c>
      <c r="G36" s="3">
        <f>INPUT!G42</f>
        <v>0</v>
      </c>
      <c r="H36" s="3" t="str">
        <f ca="1">IF(C36="","",IFERROR(_xludf.XLOOKUP(B36&amp;"|"&amp;C36&amp;"|"&amp;D36&amp;"|"&amp;E36,DUE_DATE_MASTER!I:I,DUE_DATE_MASTER!E:E,""),IF(B36="MONTH",DATE(VALUE(LEFT(C36,4)),VALUE(MID(C36,6,2))+1,20),IF(B36="QUARTER",DATE(YEAR(EOMONTH(INPUT!M42,0)),MONTH(EOMONTH(INPUT!M42,0))+1,IF(E36="A",22,24)),""))))</f>
        <v/>
      </c>
      <c r="I36" s="3" t="str">
        <f t="shared" ref="I36:I67" ca="1" si="2">IF(OR(G36="",H36=""),"",MAX(0,G36-H36))</f>
        <v/>
      </c>
      <c r="J36" s="3">
        <f>INPUT!H42</f>
        <v>0</v>
      </c>
      <c r="K36" s="3">
        <f>INPUT!I42</f>
        <v>0</v>
      </c>
      <c r="L36" s="3">
        <f>INPUT!J42</f>
        <v>0</v>
      </c>
      <c r="M36" s="3"/>
      <c r="N36" s="3"/>
      <c r="O36" s="3"/>
      <c r="P36" s="3"/>
      <c r="Q36" s="3"/>
      <c r="R36" s="3"/>
      <c r="S36" s="3" t="str">
        <f t="shared" ref="S36:S67" si="3">IF(P36="","",P36+Q36+R36)</f>
        <v/>
      </c>
    </row>
    <row r="37" spans="1:19" x14ac:dyDescent="0.55000000000000004">
      <c r="A37" s="3">
        <f>INPUT!A43</f>
        <v>34</v>
      </c>
      <c r="B37" s="3">
        <f>INPUT!B43</f>
        <v>0</v>
      </c>
      <c r="C37" s="3">
        <f>INPUT!C43</f>
        <v>0</v>
      </c>
      <c r="D37" s="3">
        <f>INPUT!D43</f>
        <v>0</v>
      </c>
      <c r="E37" s="3">
        <f>INPUT!E43</f>
        <v>0</v>
      </c>
      <c r="F37" s="3" t="str">
        <f>INPUT!F43</f>
        <v>NA</v>
      </c>
      <c r="G37" s="3">
        <f>INPUT!G43</f>
        <v>0</v>
      </c>
      <c r="H37" s="3" t="str">
        <f ca="1">IF(C37="","",IFERROR(_xludf.XLOOKUP(B37&amp;"|"&amp;C37&amp;"|"&amp;D37&amp;"|"&amp;E37,DUE_DATE_MASTER!I:I,DUE_DATE_MASTER!E:E,""),IF(B37="MONTH",DATE(VALUE(LEFT(C37,4)),VALUE(MID(C37,6,2))+1,20),IF(B37="QUARTER",DATE(YEAR(EOMONTH(INPUT!M43,0)),MONTH(EOMONTH(INPUT!M43,0))+1,IF(E37="A",22,24)),""))))</f>
        <v/>
      </c>
      <c r="I37" s="3" t="str">
        <f t="shared" ca="1" si="2"/>
        <v/>
      </c>
      <c r="J37" s="3">
        <f>INPUT!H43</f>
        <v>0</v>
      </c>
      <c r="K37" s="3">
        <f>INPUT!I43</f>
        <v>0</v>
      </c>
      <c r="L37" s="3">
        <f>INPUT!J43</f>
        <v>0</v>
      </c>
      <c r="M37" s="3"/>
      <c r="N37" s="3"/>
      <c r="O37" s="3"/>
      <c r="P37" s="3"/>
      <c r="Q37" s="3"/>
      <c r="R37" s="3"/>
      <c r="S37" s="3" t="str">
        <f t="shared" si="3"/>
        <v/>
      </c>
    </row>
    <row r="38" spans="1:19" x14ac:dyDescent="0.55000000000000004">
      <c r="A38" s="3">
        <f>INPUT!A44</f>
        <v>35</v>
      </c>
      <c r="B38" s="3">
        <f>INPUT!B44</f>
        <v>0</v>
      </c>
      <c r="C38" s="3">
        <f>INPUT!C44</f>
        <v>0</v>
      </c>
      <c r="D38" s="3">
        <f>INPUT!D44</f>
        <v>0</v>
      </c>
      <c r="E38" s="3">
        <f>INPUT!E44</f>
        <v>0</v>
      </c>
      <c r="F38" s="3" t="str">
        <f>INPUT!F44</f>
        <v>NA</v>
      </c>
      <c r="G38" s="3">
        <f>INPUT!G44</f>
        <v>0</v>
      </c>
      <c r="H38" s="3" t="str">
        <f ca="1">IF(C38="","",IFERROR(_xludf.XLOOKUP(B38&amp;"|"&amp;C38&amp;"|"&amp;D38&amp;"|"&amp;E38,DUE_DATE_MASTER!I:I,DUE_DATE_MASTER!E:E,""),IF(B38="MONTH",DATE(VALUE(LEFT(C38,4)),VALUE(MID(C38,6,2))+1,20),IF(B38="QUARTER",DATE(YEAR(EOMONTH(INPUT!M44,0)),MONTH(EOMONTH(INPUT!M44,0))+1,IF(E38="A",22,24)),""))))</f>
        <v/>
      </c>
      <c r="I38" s="3" t="str">
        <f t="shared" ca="1" si="2"/>
        <v/>
      </c>
      <c r="J38" s="3">
        <f>INPUT!H44</f>
        <v>0</v>
      </c>
      <c r="K38" s="3">
        <f>INPUT!I44</f>
        <v>0</v>
      </c>
      <c r="L38" s="3">
        <f>INPUT!J44</f>
        <v>0</v>
      </c>
      <c r="M38" s="3"/>
      <c r="N38" s="3"/>
      <c r="O38" s="3"/>
      <c r="P38" s="3"/>
      <c r="Q38" s="3"/>
      <c r="R38" s="3"/>
      <c r="S38" s="3" t="str">
        <f t="shared" si="3"/>
        <v/>
      </c>
    </row>
    <row r="39" spans="1:19" x14ac:dyDescent="0.55000000000000004">
      <c r="A39" s="3">
        <f>INPUT!A45</f>
        <v>36</v>
      </c>
      <c r="B39" s="3">
        <f>INPUT!B45</f>
        <v>0</v>
      </c>
      <c r="C39" s="3">
        <f>INPUT!C45</f>
        <v>0</v>
      </c>
      <c r="D39" s="3">
        <f>INPUT!D45</f>
        <v>0</v>
      </c>
      <c r="E39" s="3">
        <f>INPUT!E45</f>
        <v>0</v>
      </c>
      <c r="F39" s="3" t="str">
        <f>INPUT!F45</f>
        <v>NA</v>
      </c>
      <c r="G39" s="3">
        <f>INPUT!G45</f>
        <v>0</v>
      </c>
      <c r="H39" s="3" t="str">
        <f ca="1">IF(C39="","",IFERROR(_xludf.XLOOKUP(B39&amp;"|"&amp;C39&amp;"|"&amp;D39&amp;"|"&amp;E39,DUE_DATE_MASTER!I:I,DUE_DATE_MASTER!E:E,""),IF(B39="MONTH",DATE(VALUE(LEFT(C39,4)),VALUE(MID(C39,6,2))+1,20),IF(B39="QUARTER",DATE(YEAR(EOMONTH(INPUT!M45,0)),MONTH(EOMONTH(INPUT!M45,0))+1,IF(E39="A",22,24)),""))))</f>
        <v/>
      </c>
      <c r="I39" s="3" t="str">
        <f t="shared" ca="1" si="2"/>
        <v/>
      </c>
      <c r="J39" s="3">
        <f>INPUT!H45</f>
        <v>0</v>
      </c>
      <c r="K39" s="3">
        <f>INPUT!I45</f>
        <v>0</v>
      </c>
      <c r="L39" s="3">
        <f>INPUT!J45</f>
        <v>0</v>
      </c>
      <c r="M39" s="3"/>
      <c r="N39" s="3"/>
      <c r="O39" s="3"/>
      <c r="P39" s="3"/>
      <c r="Q39" s="3"/>
      <c r="R39" s="3"/>
      <c r="S39" s="3" t="str">
        <f t="shared" si="3"/>
        <v/>
      </c>
    </row>
    <row r="40" spans="1:19" x14ac:dyDescent="0.55000000000000004">
      <c r="A40" s="3">
        <f>INPUT!A46</f>
        <v>37</v>
      </c>
      <c r="B40" s="3">
        <f>INPUT!B46</f>
        <v>0</v>
      </c>
      <c r="C40" s="3">
        <f>INPUT!C46</f>
        <v>0</v>
      </c>
      <c r="D40" s="3">
        <f>INPUT!D46</f>
        <v>0</v>
      </c>
      <c r="E40" s="3">
        <f>INPUT!E46</f>
        <v>0</v>
      </c>
      <c r="F40" s="3" t="str">
        <f>INPUT!F46</f>
        <v>NA</v>
      </c>
      <c r="G40" s="3">
        <f>INPUT!G46</f>
        <v>0</v>
      </c>
      <c r="H40" s="3" t="str">
        <f ca="1">IF(C40="","",IFERROR(_xludf.XLOOKUP(B40&amp;"|"&amp;C40&amp;"|"&amp;D40&amp;"|"&amp;E40,DUE_DATE_MASTER!I:I,DUE_DATE_MASTER!E:E,""),IF(B40="MONTH",DATE(VALUE(LEFT(C40,4)),VALUE(MID(C40,6,2))+1,20),IF(B40="QUARTER",DATE(YEAR(EOMONTH(INPUT!M46,0)),MONTH(EOMONTH(INPUT!M46,0))+1,IF(E40="A",22,24)),""))))</f>
        <v/>
      </c>
      <c r="I40" s="3" t="str">
        <f t="shared" ca="1" si="2"/>
        <v/>
      </c>
      <c r="J40" s="3">
        <f>INPUT!H46</f>
        <v>0</v>
      </c>
      <c r="K40" s="3">
        <f>INPUT!I46</f>
        <v>0</v>
      </c>
      <c r="L40" s="3">
        <f>INPUT!J46</f>
        <v>0</v>
      </c>
      <c r="M40" s="3"/>
      <c r="N40" s="3"/>
      <c r="O40" s="3"/>
      <c r="P40" s="3"/>
      <c r="Q40" s="3"/>
      <c r="R40" s="3"/>
      <c r="S40" s="3" t="str">
        <f t="shared" si="3"/>
        <v/>
      </c>
    </row>
    <row r="41" spans="1:19" x14ac:dyDescent="0.55000000000000004">
      <c r="A41" s="3">
        <f>INPUT!A47</f>
        <v>38</v>
      </c>
      <c r="B41" s="3">
        <f>INPUT!B47</f>
        <v>0</v>
      </c>
      <c r="C41" s="3">
        <f>INPUT!C47</f>
        <v>0</v>
      </c>
      <c r="D41" s="3">
        <f>INPUT!D47</f>
        <v>0</v>
      </c>
      <c r="E41" s="3">
        <f>INPUT!E47</f>
        <v>0</v>
      </c>
      <c r="F41" s="3" t="str">
        <f>INPUT!F47</f>
        <v>NA</v>
      </c>
      <c r="G41" s="3">
        <f>INPUT!G47</f>
        <v>0</v>
      </c>
      <c r="H41" s="3" t="str">
        <f ca="1">IF(C41="","",IFERROR(_xludf.XLOOKUP(B41&amp;"|"&amp;C41&amp;"|"&amp;D41&amp;"|"&amp;E41,DUE_DATE_MASTER!I:I,DUE_DATE_MASTER!E:E,""),IF(B41="MONTH",DATE(VALUE(LEFT(C41,4)),VALUE(MID(C41,6,2))+1,20),IF(B41="QUARTER",DATE(YEAR(EOMONTH(INPUT!M47,0)),MONTH(EOMONTH(INPUT!M47,0))+1,IF(E41="A",22,24)),""))))</f>
        <v/>
      </c>
      <c r="I41" s="3" t="str">
        <f t="shared" ca="1" si="2"/>
        <v/>
      </c>
      <c r="J41" s="3">
        <f>INPUT!H47</f>
        <v>0</v>
      </c>
      <c r="K41" s="3">
        <f>INPUT!I47</f>
        <v>0</v>
      </c>
      <c r="L41" s="3">
        <f>INPUT!J47</f>
        <v>0</v>
      </c>
      <c r="M41" s="3"/>
      <c r="N41" s="3"/>
      <c r="O41" s="3"/>
      <c r="P41" s="3"/>
      <c r="Q41" s="3"/>
      <c r="R41" s="3"/>
      <c r="S41" s="3" t="str">
        <f t="shared" si="3"/>
        <v/>
      </c>
    </row>
    <row r="42" spans="1:19" x14ac:dyDescent="0.55000000000000004">
      <c r="A42" s="3">
        <f>INPUT!A48</f>
        <v>39</v>
      </c>
      <c r="B42" s="3">
        <f>INPUT!B48</f>
        <v>0</v>
      </c>
      <c r="C42" s="3">
        <f>INPUT!C48</f>
        <v>0</v>
      </c>
      <c r="D42" s="3">
        <f>INPUT!D48</f>
        <v>0</v>
      </c>
      <c r="E42" s="3">
        <f>INPUT!E48</f>
        <v>0</v>
      </c>
      <c r="F42" s="3" t="str">
        <f>INPUT!F48</f>
        <v>NA</v>
      </c>
      <c r="G42" s="3">
        <f>INPUT!G48</f>
        <v>0</v>
      </c>
      <c r="H42" s="3" t="str">
        <f ca="1">IF(C42="","",IFERROR(_xludf.XLOOKUP(B42&amp;"|"&amp;C42&amp;"|"&amp;D42&amp;"|"&amp;E42,DUE_DATE_MASTER!I:I,DUE_DATE_MASTER!E:E,""),IF(B42="MONTH",DATE(VALUE(LEFT(C42,4)),VALUE(MID(C42,6,2))+1,20),IF(B42="QUARTER",DATE(YEAR(EOMONTH(INPUT!M48,0)),MONTH(EOMONTH(INPUT!M48,0))+1,IF(E42="A",22,24)),""))))</f>
        <v/>
      </c>
      <c r="I42" s="3" t="str">
        <f t="shared" ca="1" si="2"/>
        <v/>
      </c>
      <c r="J42" s="3">
        <f>INPUT!H48</f>
        <v>0</v>
      </c>
      <c r="K42" s="3">
        <f>INPUT!I48</f>
        <v>0</v>
      </c>
      <c r="L42" s="3">
        <f>INPUT!J48</f>
        <v>0</v>
      </c>
      <c r="M42" s="3"/>
      <c r="N42" s="3"/>
      <c r="O42" s="3"/>
      <c r="P42" s="3"/>
      <c r="Q42" s="3"/>
      <c r="R42" s="3"/>
      <c r="S42" s="3" t="str">
        <f t="shared" si="3"/>
        <v/>
      </c>
    </row>
    <row r="43" spans="1:19" x14ac:dyDescent="0.55000000000000004">
      <c r="A43" s="3">
        <f>INPUT!A49</f>
        <v>40</v>
      </c>
      <c r="B43" s="3">
        <f>INPUT!B49</f>
        <v>0</v>
      </c>
      <c r="C43" s="3">
        <f>INPUT!C49</f>
        <v>0</v>
      </c>
      <c r="D43" s="3">
        <f>INPUT!D49</f>
        <v>0</v>
      </c>
      <c r="E43" s="3">
        <f>INPUT!E49</f>
        <v>0</v>
      </c>
      <c r="F43" s="3" t="str">
        <f>INPUT!F49</f>
        <v>NA</v>
      </c>
      <c r="G43" s="3">
        <f>INPUT!G49</f>
        <v>0</v>
      </c>
      <c r="H43" s="3" t="str">
        <f ca="1">IF(C43="","",IFERROR(_xludf.XLOOKUP(B43&amp;"|"&amp;C43&amp;"|"&amp;D43&amp;"|"&amp;E43,DUE_DATE_MASTER!I:I,DUE_DATE_MASTER!E:E,""),IF(B43="MONTH",DATE(VALUE(LEFT(C43,4)),VALUE(MID(C43,6,2))+1,20),IF(B43="QUARTER",DATE(YEAR(EOMONTH(INPUT!M49,0)),MONTH(EOMONTH(INPUT!M49,0))+1,IF(E43="A",22,24)),""))))</f>
        <v/>
      </c>
      <c r="I43" s="3" t="str">
        <f t="shared" ca="1" si="2"/>
        <v/>
      </c>
      <c r="J43" s="3">
        <f>INPUT!H49</f>
        <v>0</v>
      </c>
      <c r="K43" s="3">
        <f>INPUT!I49</f>
        <v>0</v>
      </c>
      <c r="L43" s="3">
        <f>INPUT!J49</f>
        <v>0</v>
      </c>
      <c r="M43" s="3"/>
      <c r="N43" s="3"/>
      <c r="O43" s="3"/>
      <c r="P43" s="3"/>
      <c r="Q43" s="3"/>
      <c r="R43" s="3"/>
      <c r="S43" s="3" t="str">
        <f t="shared" si="3"/>
        <v/>
      </c>
    </row>
    <row r="44" spans="1:19" x14ac:dyDescent="0.55000000000000004">
      <c r="A44" s="3">
        <f>INPUT!A50</f>
        <v>41</v>
      </c>
      <c r="B44" s="3">
        <f>INPUT!B50</f>
        <v>0</v>
      </c>
      <c r="C44" s="3">
        <f>INPUT!C50</f>
        <v>0</v>
      </c>
      <c r="D44" s="3">
        <f>INPUT!D50</f>
        <v>0</v>
      </c>
      <c r="E44" s="3">
        <f>INPUT!E50</f>
        <v>0</v>
      </c>
      <c r="F44" s="3" t="str">
        <f>INPUT!F50</f>
        <v>NA</v>
      </c>
      <c r="G44" s="3">
        <f>INPUT!G50</f>
        <v>0</v>
      </c>
      <c r="H44" s="3" t="str">
        <f ca="1">IF(C44="","",IFERROR(_xludf.XLOOKUP(B44&amp;"|"&amp;C44&amp;"|"&amp;D44&amp;"|"&amp;E44,DUE_DATE_MASTER!I:I,DUE_DATE_MASTER!E:E,""),IF(B44="MONTH",DATE(VALUE(LEFT(C44,4)),VALUE(MID(C44,6,2))+1,20),IF(B44="QUARTER",DATE(YEAR(EOMONTH(INPUT!M50,0)),MONTH(EOMONTH(INPUT!M50,0))+1,IF(E44="A",22,24)),""))))</f>
        <v/>
      </c>
      <c r="I44" s="3" t="str">
        <f t="shared" ca="1" si="2"/>
        <v/>
      </c>
      <c r="J44" s="3">
        <f>INPUT!H50</f>
        <v>0</v>
      </c>
      <c r="K44" s="3">
        <f>INPUT!I50</f>
        <v>0</v>
      </c>
      <c r="L44" s="3">
        <f>INPUT!J50</f>
        <v>0</v>
      </c>
      <c r="M44" s="3"/>
      <c r="N44" s="3"/>
      <c r="O44" s="3"/>
      <c r="P44" s="3"/>
      <c r="Q44" s="3"/>
      <c r="R44" s="3"/>
      <c r="S44" s="3" t="str">
        <f t="shared" si="3"/>
        <v/>
      </c>
    </row>
    <row r="45" spans="1:19" x14ac:dyDescent="0.55000000000000004">
      <c r="A45" s="3">
        <f>INPUT!A51</f>
        <v>42</v>
      </c>
      <c r="B45" s="3">
        <f>INPUT!B51</f>
        <v>0</v>
      </c>
      <c r="C45" s="3">
        <f>INPUT!C51</f>
        <v>0</v>
      </c>
      <c r="D45" s="3">
        <f>INPUT!D51</f>
        <v>0</v>
      </c>
      <c r="E45" s="3">
        <f>INPUT!E51</f>
        <v>0</v>
      </c>
      <c r="F45" s="3" t="str">
        <f>INPUT!F51</f>
        <v>NA</v>
      </c>
      <c r="G45" s="3">
        <f>INPUT!G51</f>
        <v>0</v>
      </c>
      <c r="H45" s="3" t="str">
        <f ca="1">IF(C45="","",IFERROR(_xludf.XLOOKUP(B45&amp;"|"&amp;C45&amp;"|"&amp;D45&amp;"|"&amp;E45,DUE_DATE_MASTER!I:I,DUE_DATE_MASTER!E:E,""),IF(B45="MONTH",DATE(VALUE(LEFT(C45,4)),VALUE(MID(C45,6,2))+1,20),IF(B45="QUARTER",DATE(YEAR(EOMONTH(INPUT!M51,0)),MONTH(EOMONTH(INPUT!M51,0))+1,IF(E45="A",22,24)),""))))</f>
        <v/>
      </c>
      <c r="I45" s="3" t="str">
        <f t="shared" ca="1" si="2"/>
        <v/>
      </c>
      <c r="J45" s="3">
        <f>INPUT!H51</f>
        <v>0</v>
      </c>
      <c r="K45" s="3">
        <f>INPUT!I51</f>
        <v>0</v>
      </c>
      <c r="L45" s="3">
        <f>INPUT!J51</f>
        <v>0</v>
      </c>
      <c r="M45" s="3"/>
      <c r="N45" s="3"/>
      <c r="O45" s="3"/>
      <c r="P45" s="3"/>
      <c r="Q45" s="3"/>
      <c r="R45" s="3"/>
      <c r="S45" s="3" t="str">
        <f t="shared" si="3"/>
        <v/>
      </c>
    </row>
    <row r="46" spans="1:19" x14ac:dyDescent="0.55000000000000004">
      <c r="A46" s="3">
        <f>INPUT!A52</f>
        <v>43</v>
      </c>
      <c r="B46" s="3">
        <f>INPUT!B52</f>
        <v>0</v>
      </c>
      <c r="C46" s="3">
        <f>INPUT!C52</f>
        <v>0</v>
      </c>
      <c r="D46" s="3">
        <f>INPUT!D52</f>
        <v>0</v>
      </c>
      <c r="E46" s="3">
        <f>INPUT!E52</f>
        <v>0</v>
      </c>
      <c r="F46" s="3" t="str">
        <f>INPUT!F52</f>
        <v>NA</v>
      </c>
      <c r="G46" s="3">
        <f>INPUT!G52</f>
        <v>0</v>
      </c>
      <c r="H46" s="3" t="str">
        <f ca="1">IF(C46="","",IFERROR(_xludf.XLOOKUP(B46&amp;"|"&amp;C46&amp;"|"&amp;D46&amp;"|"&amp;E46,DUE_DATE_MASTER!I:I,DUE_DATE_MASTER!E:E,""),IF(B46="MONTH",DATE(VALUE(LEFT(C46,4)),VALUE(MID(C46,6,2))+1,20),IF(B46="QUARTER",DATE(YEAR(EOMONTH(INPUT!M52,0)),MONTH(EOMONTH(INPUT!M52,0))+1,IF(E46="A",22,24)),""))))</f>
        <v/>
      </c>
      <c r="I46" s="3" t="str">
        <f t="shared" ca="1" si="2"/>
        <v/>
      </c>
      <c r="J46" s="3">
        <f>INPUT!H52</f>
        <v>0</v>
      </c>
      <c r="K46" s="3">
        <f>INPUT!I52</f>
        <v>0</v>
      </c>
      <c r="L46" s="3">
        <f>INPUT!J52</f>
        <v>0</v>
      </c>
      <c r="M46" s="3"/>
      <c r="N46" s="3"/>
      <c r="O46" s="3"/>
      <c r="P46" s="3"/>
      <c r="Q46" s="3"/>
      <c r="R46" s="3"/>
      <c r="S46" s="3" t="str">
        <f t="shared" si="3"/>
        <v/>
      </c>
    </row>
    <row r="47" spans="1:19" x14ac:dyDescent="0.55000000000000004">
      <c r="A47" s="3">
        <f>INPUT!A53</f>
        <v>44</v>
      </c>
      <c r="B47" s="3">
        <f>INPUT!B53</f>
        <v>0</v>
      </c>
      <c r="C47" s="3">
        <f>INPUT!C53</f>
        <v>0</v>
      </c>
      <c r="D47" s="3">
        <f>INPUT!D53</f>
        <v>0</v>
      </c>
      <c r="E47" s="3">
        <f>INPUT!E53</f>
        <v>0</v>
      </c>
      <c r="F47" s="3" t="str">
        <f>INPUT!F53</f>
        <v>NA</v>
      </c>
      <c r="G47" s="3">
        <f>INPUT!G53</f>
        <v>0</v>
      </c>
      <c r="H47" s="3" t="str">
        <f ca="1">IF(C47="","",IFERROR(_xludf.XLOOKUP(B47&amp;"|"&amp;C47&amp;"|"&amp;D47&amp;"|"&amp;E47,DUE_DATE_MASTER!I:I,DUE_DATE_MASTER!E:E,""),IF(B47="MONTH",DATE(VALUE(LEFT(C47,4)),VALUE(MID(C47,6,2))+1,20),IF(B47="QUARTER",DATE(YEAR(EOMONTH(INPUT!M53,0)),MONTH(EOMONTH(INPUT!M53,0))+1,IF(E47="A",22,24)),""))))</f>
        <v/>
      </c>
      <c r="I47" s="3" t="str">
        <f t="shared" ca="1" si="2"/>
        <v/>
      </c>
      <c r="J47" s="3">
        <f>INPUT!H53</f>
        <v>0</v>
      </c>
      <c r="K47" s="3">
        <f>INPUT!I53</f>
        <v>0</v>
      </c>
      <c r="L47" s="3">
        <f>INPUT!J53</f>
        <v>0</v>
      </c>
      <c r="M47" s="3"/>
      <c r="N47" s="3"/>
      <c r="O47" s="3"/>
      <c r="P47" s="3"/>
      <c r="Q47" s="3"/>
      <c r="R47" s="3"/>
      <c r="S47" s="3" t="str">
        <f t="shared" si="3"/>
        <v/>
      </c>
    </row>
    <row r="48" spans="1:19" x14ac:dyDescent="0.55000000000000004">
      <c r="A48" s="3">
        <f>INPUT!A54</f>
        <v>45</v>
      </c>
      <c r="B48" s="3">
        <f>INPUT!B54</f>
        <v>0</v>
      </c>
      <c r="C48" s="3">
        <f>INPUT!C54</f>
        <v>0</v>
      </c>
      <c r="D48" s="3">
        <f>INPUT!D54</f>
        <v>0</v>
      </c>
      <c r="E48" s="3">
        <f>INPUT!E54</f>
        <v>0</v>
      </c>
      <c r="F48" s="3" t="str">
        <f>INPUT!F54</f>
        <v>NA</v>
      </c>
      <c r="G48" s="3">
        <f>INPUT!G54</f>
        <v>0</v>
      </c>
      <c r="H48" s="3" t="str">
        <f ca="1">IF(C48="","",IFERROR(_xludf.XLOOKUP(B48&amp;"|"&amp;C48&amp;"|"&amp;D48&amp;"|"&amp;E48,DUE_DATE_MASTER!I:I,DUE_DATE_MASTER!E:E,""),IF(B48="MONTH",DATE(VALUE(LEFT(C48,4)),VALUE(MID(C48,6,2))+1,20),IF(B48="QUARTER",DATE(YEAR(EOMONTH(INPUT!M54,0)),MONTH(EOMONTH(INPUT!M54,0))+1,IF(E48="A",22,24)),""))))</f>
        <v/>
      </c>
      <c r="I48" s="3" t="str">
        <f t="shared" ca="1" si="2"/>
        <v/>
      </c>
      <c r="J48" s="3">
        <f>INPUT!H54</f>
        <v>0</v>
      </c>
      <c r="K48" s="3">
        <f>INPUT!I54</f>
        <v>0</v>
      </c>
      <c r="L48" s="3">
        <f>INPUT!J54</f>
        <v>0</v>
      </c>
      <c r="M48" s="3"/>
      <c r="N48" s="3"/>
      <c r="O48" s="3"/>
      <c r="P48" s="3"/>
      <c r="Q48" s="3"/>
      <c r="R48" s="3"/>
      <c r="S48" s="3" t="str">
        <f t="shared" si="3"/>
        <v/>
      </c>
    </row>
    <row r="49" spans="1:19" x14ac:dyDescent="0.55000000000000004">
      <c r="A49" s="3">
        <f>INPUT!A55</f>
        <v>46</v>
      </c>
      <c r="B49" s="3">
        <f>INPUT!B55</f>
        <v>0</v>
      </c>
      <c r="C49" s="3">
        <f>INPUT!C55</f>
        <v>0</v>
      </c>
      <c r="D49" s="3">
        <f>INPUT!D55</f>
        <v>0</v>
      </c>
      <c r="E49" s="3">
        <f>INPUT!E55</f>
        <v>0</v>
      </c>
      <c r="F49" s="3" t="str">
        <f>INPUT!F55</f>
        <v>NA</v>
      </c>
      <c r="G49" s="3">
        <f>INPUT!G55</f>
        <v>0</v>
      </c>
      <c r="H49" s="3" t="str">
        <f ca="1">IF(C49="","",IFERROR(_xludf.XLOOKUP(B49&amp;"|"&amp;C49&amp;"|"&amp;D49&amp;"|"&amp;E49,DUE_DATE_MASTER!I:I,DUE_DATE_MASTER!E:E,""),IF(B49="MONTH",DATE(VALUE(LEFT(C49,4)),VALUE(MID(C49,6,2))+1,20),IF(B49="QUARTER",DATE(YEAR(EOMONTH(INPUT!M55,0)),MONTH(EOMONTH(INPUT!M55,0))+1,IF(E49="A",22,24)),""))))</f>
        <v/>
      </c>
      <c r="I49" s="3" t="str">
        <f t="shared" ca="1" si="2"/>
        <v/>
      </c>
      <c r="J49" s="3">
        <f>INPUT!H55</f>
        <v>0</v>
      </c>
      <c r="K49" s="3">
        <f>INPUT!I55</f>
        <v>0</v>
      </c>
      <c r="L49" s="3">
        <f>INPUT!J55</f>
        <v>0</v>
      </c>
      <c r="M49" s="3"/>
      <c r="N49" s="3"/>
      <c r="O49" s="3"/>
      <c r="P49" s="3"/>
      <c r="Q49" s="3"/>
      <c r="R49" s="3"/>
      <c r="S49" s="3" t="str">
        <f t="shared" si="3"/>
        <v/>
      </c>
    </row>
    <row r="50" spans="1:19" x14ac:dyDescent="0.55000000000000004">
      <c r="A50" s="3">
        <f>INPUT!A56</f>
        <v>47</v>
      </c>
      <c r="B50" s="3">
        <f>INPUT!B56</f>
        <v>0</v>
      </c>
      <c r="C50" s="3">
        <f>INPUT!C56</f>
        <v>0</v>
      </c>
      <c r="D50" s="3">
        <f>INPUT!D56</f>
        <v>0</v>
      </c>
      <c r="E50" s="3">
        <f>INPUT!E56</f>
        <v>0</v>
      </c>
      <c r="F50" s="3" t="str">
        <f>INPUT!F56</f>
        <v>NA</v>
      </c>
      <c r="G50" s="3">
        <f>INPUT!G56</f>
        <v>0</v>
      </c>
      <c r="H50" s="3" t="str">
        <f ca="1">IF(C50="","",IFERROR(_xludf.XLOOKUP(B50&amp;"|"&amp;C50&amp;"|"&amp;D50&amp;"|"&amp;E50,DUE_DATE_MASTER!I:I,DUE_DATE_MASTER!E:E,""),IF(B50="MONTH",DATE(VALUE(LEFT(C50,4)),VALUE(MID(C50,6,2))+1,20),IF(B50="QUARTER",DATE(YEAR(EOMONTH(INPUT!M56,0)),MONTH(EOMONTH(INPUT!M56,0))+1,IF(E50="A",22,24)),""))))</f>
        <v/>
      </c>
      <c r="I50" s="3" t="str">
        <f t="shared" ca="1" si="2"/>
        <v/>
      </c>
      <c r="J50" s="3">
        <f>INPUT!H56</f>
        <v>0</v>
      </c>
      <c r="K50" s="3">
        <f>INPUT!I56</f>
        <v>0</v>
      </c>
      <c r="L50" s="3">
        <f>INPUT!J56</f>
        <v>0</v>
      </c>
      <c r="M50" s="3"/>
      <c r="N50" s="3"/>
      <c r="O50" s="3"/>
      <c r="P50" s="3"/>
      <c r="Q50" s="3"/>
      <c r="R50" s="3"/>
      <c r="S50" s="3" t="str">
        <f t="shared" si="3"/>
        <v/>
      </c>
    </row>
    <row r="51" spans="1:19" x14ac:dyDescent="0.55000000000000004">
      <c r="A51" s="3">
        <f>INPUT!A57</f>
        <v>48</v>
      </c>
      <c r="B51" s="3">
        <f>INPUT!B57</f>
        <v>0</v>
      </c>
      <c r="C51" s="3">
        <f>INPUT!C57</f>
        <v>0</v>
      </c>
      <c r="D51" s="3">
        <f>INPUT!D57</f>
        <v>0</v>
      </c>
      <c r="E51" s="3">
        <f>INPUT!E57</f>
        <v>0</v>
      </c>
      <c r="F51" s="3" t="str">
        <f>INPUT!F57</f>
        <v>NA</v>
      </c>
      <c r="G51" s="3">
        <f>INPUT!G57</f>
        <v>0</v>
      </c>
      <c r="H51" s="3" t="str">
        <f ca="1">IF(C51="","",IFERROR(_xludf.XLOOKUP(B51&amp;"|"&amp;C51&amp;"|"&amp;D51&amp;"|"&amp;E51,DUE_DATE_MASTER!I:I,DUE_DATE_MASTER!E:E,""),IF(B51="MONTH",DATE(VALUE(LEFT(C51,4)),VALUE(MID(C51,6,2))+1,20),IF(B51="QUARTER",DATE(YEAR(EOMONTH(INPUT!M57,0)),MONTH(EOMONTH(INPUT!M57,0))+1,IF(E51="A",22,24)),""))))</f>
        <v/>
      </c>
      <c r="I51" s="3" t="str">
        <f t="shared" ca="1" si="2"/>
        <v/>
      </c>
      <c r="J51" s="3">
        <f>INPUT!H57</f>
        <v>0</v>
      </c>
      <c r="K51" s="3">
        <f>INPUT!I57</f>
        <v>0</v>
      </c>
      <c r="L51" s="3">
        <f>INPUT!J57</f>
        <v>0</v>
      </c>
      <c r="M51" s="3"/>
      <c r="N51" s="3"/>
      <c r="O51" s="3"/>
      <c r="P51" s="3"/>
      <c r="Q51" s="3"/>
      <c r="R51" s="3"/>
      <c r="S51" s="3" t="str">
        <f t="shared" si="3"/>
        <v/>
      </c>
    </row>
    <row r="52" spans="1:19" x14ac:dyDescent="0.55000000000000004">
      <c r="A52" s="3">
        <f>INPUT!A58</f>
        <v>49</v>
      </c>
      <c r="B52" s="3">
        <f>INPUT!B58</f>
        <v>0</v>
      </c>
      <c r="C52" s="3">
        <f>INPUT!C58</f>
        <v>0</v>
      </c>
      <c r="D52" s="3">
        <f>INPUT!D58</f>
        <v>0</v>
      </c>
      <c r="E52" s="3">
        <f>INPUT!E58</f>
        <v>0</v>
      </c>
      <c r="F52" s="3" t="str">
        <f>INPUT!F58</f>
        <v>NA</v>
      </c>
      <c r="G52" s="3">
        <f>INPUT!G58</f>
        <v>0</v>
      </c>
      <c r="H52" s="3" t="str">
        <f ca="1">IF(C52="","",IFERROR(_xludf.XLOOKUP(B52&amp;"|"&amp;C52&amp;"|"&amp;D52&amp;"|"&amp;E52,DUE_DATE_MASTER!I:I,DUE_DATE_MASTER!E:E,""),IF(B52="MONTH",DATE(VALUE(LEFT(C52,4)),VALUE(MID(C52,6,2))+1,20),IF(B52="QUARTER",DATE(YEAR(EOMONTH(INPUT!M58,0)),MONTH(EOMONTH(INPUT!M58,0))+1,IF(E52="A",22,24)),""))))</f>
        <v/>
      </c>
      <c r="I52" s="3" t="str">
        <f t="shared" ca="1" si="2"/>
        <v/>
      </c>
      <c r="J52" s="3">
        <f>INPUT!H58</f>
        <v>0</v>
      </c>
      <c r="K52" s="3">
        <f>INPUT!I58</f>
        <v>0</v>
      </c>
      <c r="L52" s="3">
        <f>INPUT!J58</f>
        <v>0</v>
      </c>
      <c r="M52" s="3"/>
      <c r="N52" s="3"/>
      <c r="O52" s="3"/>
      <c r="P52" s="3"/>
      <c r="Q52" s="3"/>
      <c r="R52" s="3"/>
      <c r="S52" s="3" t="str">
        <f t="shared" si="3"/>
        <v/>
      </c>
    </row>
    <row r="53" spans="1:19" x14ac:dyDescent="0.55000000000000004">
      <c r="A53" s="3">
        <f>INPUT!A59</f>
        <v>50</v>
      </c>
      <c r="B53" s="3">
        <f>INPUT!B59</f>
        <v>0</v>
      </c>
      <c r="C53" s="3">
        <f>INPUT!C59</f>
        <v>0</v>
      </c>
      <c r="D53" s="3">
        <f>INPUT!D59</f>
        <v>0</v>
      </c>
      <c r="E53" s="3">
        <f>INPUT!E59</f>
        <v>0</v>
      </c>
      <c r="F53" s="3" t="str">
        <f>INPUT!F59</f>
        <v>NA</v>
      </c>
      <c r="G53" s="3">
        <f>INPUT!G59</f>
        <v>0</v>
      </c>
      <c r="H53" s="3" t="str">
        <f ca="1">IF(C53="","",IFERROR(_xludf.XLOOKUP(B53&amp;"|"&amp;C53&amp;"|"&amp;D53&amp;"|"&amp;E53,DUE_DATE_MASTER!I:I,DUE_DATE_MASTER!E:E,""),IF(B53="MONTH",DATE(VALUE(LEFT(C53,4)),VALUE(MID(C53,6,2))+1,20),IF(B53="QUARTER",DATE(YEAR(EOMONTH(INPUT!M59,0)),MONTH(EOMONTH(INPUT!M59,0))+1,IF(E53="A",22,24)),""))))</f>
        <v/>
      </c>
      <c r="I53" s="3" t="str">
        <f t="shared" ca="1" si="2"/>
        <v/>
      </c>
      <c r="J53" s="3">
        <f>INPUT!H59</f>
        <v>0</v>
      </c>
      <c r="K53" s="3">
        <f>INPUT!I59</f>
        <v>0</v>
      </c>
      <c r="L53" s="3">
        <f>INPUT!J59</f>
        <v>0</v>
      </c>
      <c r="M53" s="3"/>
      <c r="N53" s="3"/>
      <c r="O53" s="3"/>
      <c r="P53" s="3"/>
      <c r="Q53" s="3"/>
      <c r="R53" s="3"/>
      <c r="S53" s="3" t="str">
        <f t="shared" si="3"/>
        <v/>
      </c>
    </row>
    <row r="54" spans="1:19" x14ac:dyDescent="0.55000000000000004">
      <c r="A54" s="3">
        <f>INPUT!A60</f>
        <v>51</v>
      </c>
      <c r="B54" s="3">
        <f>INPUT!B60</f>
        <v>0</v>
      </c>
      <c r="C54" s="3">
        <f>INPUT!C60</f>
        <v>0</v>
      </c>
      <c r="D54" s="3">
        <f>INPUT!D60</f>
        <v>0</v>
      </c>
      <c r="E54" s="3">
        <f>INPUT!E60</f>
        <v>0</v>
      </c>
      <c r="F54" s="3" t="str">
        <f>INPUT!F60</f>
        <v>NA</v>
      </c>
      <c r="G54" s="3">
        <f>INPUT!G60</f>
        <v>0</v>
      </c>
      <c r="H54" s="3" t="str">
        <f ca="1">IF(C54="","",IFERROR(_xludf.XLOOKUP(B54&amp;"|"&amp;C54&amp;"|"&amp;D54&amp;"|"&amp;E54,DUE_DATE_MASTER!I:I,DUE_DATE_MASTER!E:E,""),IF(B54="MONTH",DATE(VALUE(LEFT(C54,4)),VALUE(MID(C54,6,2))+1,20),IF(B54="QUARTER",DATE(YEAR(EOMONTH(INPUT!M60,0)),MONTH(EOMONTH(INPUT!M60,0))+1,IF(E54="A",22,24)),""))))</f>
        <v/>
      </c>
      <c r="I54" s="3" t="str">
        <f t="shared" ca="1" si="2"/>
        <v/>
      </c>
      <c r="J54" s="3">
        <f>INPUT!H60</f>
        <v>0</v>
      </c>
      <c r="K54" s="3">
        <f>INPUT!I60</f>
        <v>0</v>
      </c>
      <c r="L54" s="3">
        <f>INPUT!J60</f>
        <v>0</v>
      </c>
      <c r="M54" s="3"/>
      <c r="N54" s="3"/>
      <c r="O54" s="3"/>
      <c r="P54" s="3"/>
      <c r="Q54" s="3"/>
      <c r="R54" s="3"/>
      <c r="S54" s="3" t="str">
        <f t="shared" si="3"/>
        <v/>
      </c>
    </row>
    <row r="55" spans="1:19" x14ac:dyDescent="0.55000000000000004">
      <c r="A55" s="3">
        <f>INPUT!A61</f>
        <v>52</v>
      </c>
      <c r="B55" s="3">
        <f>INPUT!B61</f>
        <v>0</v>
      </c>
      <c r="C55" s="3">
        <f>INPUT!C61</f>
        <v>0</v>
      </c>
      <c r="D55" s="3">
        <f>INPUT!D61</f>
        <v>0</v>
      </c>
      <c r="E55" s="3">
        <f>INPUT!E61</f>
        <v>0</v>
      </c>
      <c r="F55" s="3" t="str">
        <f>INPUT!F61</f>
        <v>NA</v>
      </c>
      <c r="G55" s="3">
        <f>INPUT!G61</f>
        <v>0</v>
      </c>
      <c r="H55" s="3" t="str">
        <f ca="1">IF(C55="","",IFERROR(_xludf.XLOOKUP(B55&amp;"|"&amp;C55&amp;"|"&amp;D55&amp;"|"&amp;E55,DUE_DATE_MASTER!I:I,DUE_DATE_MASTER!E:E,""),IF(B55="MONTH",DATE(VALUE(LEFT(C55,4)),VALUE(MID(C55,6,2))+1,20),IF(B55="QUARTER",DATE(YEAR(EOMONTH(INPUT!M61,0)),MONTH(EOMONTH(INPUT!M61,0))+1,IF(E55="A",22,24)),""))))</f>
        <v/>
      </c>
      <c r="I55" s="3" t="str">
        <f t="shared" ca="1" si="2"/>
        <v/>
      </c>
      <c r="J55" s="3">
        <f>INPUT!H61</f>
        <v>0</v>
      </c>
      <c r="K55" s="3">
        <f>INPUT!I61</f>
        <v>0</v>
      </c>
      <c r="L55" s="3">
        <f>INPUT!J61</f>
        <v>0</v>
      </c>
      <c r="M55" s="3"/>
      <c r="N55" s="3"/>
      <c r="O55" s="3"/>
      <c r="P55" s="3"/>
      <c r="Q55" s="3"/>
      <c r="R55" s="3"/>
      <c r="S55" s="3" t="str">
        <f t="shared" si="3"/>
        <v/>
      </c>
    </row>
    <row r="56" spans="1:19" x14ac:dyDescent="0.55000000000000004">
      <c r="A56" s="3">
        <f>INPUT!A62</f>
        <v>53</v>
      </c>
      <c r="B56" s="3">
        <f>INPUT!B62</f>
        <v>0</v>
      </c>
      <c r="C56" s="3">
        <f>INPUT!C62</f>
        <v>0</v>
      </c>
      <c r="D56" s="3">
        <f>INPUT!D62</f>
        <v>0</v>
      </c>
      <c r="E56" s="3">
        <f>INPUT!E62</f>
        <v>0</v>
      </c>
      <c r="F56" s="3" t="str">
        <f>INPUT!F62</f>
        <v>NA</v>
      </c>
      <c r="G56" s="3">
        <f>INPUT!G62</f>
        <v>0</v>
      </c>
      <c r="H56" s="3" t="str">
        <f ca="1">IF(C56="","",IFERROR(_xludf.XLOOKUP(B56&amp;"|"&amp;C56&amp;"|"&amp;D56&amp;"|"&amp;E56,DUE_DATE_MASTER!I:I,DUE_DATE_MASTER!E:E,""),IF(B56="MONTH",DATE(VALUE(LEFT(C56,4)),VALUE(MID(C56,6,2))+1,20),IF(B56="QUARTER",DATE(YEAR(EOMONTH(INPUT!M62,0)),MONTH(EOMONTH(INPUT!M62,0))+1,IF(E56="A",22,24)),""))))</f>
        <v/>
      </c>
      <c r="I56" s="3" t="str">
        <f t="shared" ca="1" si="2"/>
        <v/>
      </c>
      <c r="J56" s="3">
        <f>INPUT!H62</f>
        <v>0</v>
      </c>
      <c r="K56" s="3">
        <f>INPUT!I62</f>
        <v>0</v>
      </c>
      <c r="L56" s="3">
        <f>INPUT!J62</f>
        <v>0</v>
      </c>
      <c r="M56" s="3"/>
      <c r="N56" s="3"/>
      <c r="O56" s="3"/>
      <c r="P56" s="3"/>
      <c r="Q56" s="3"/>
      <c r="R56" s="3"/>
      <c r="S56" s="3" t="str">
        <f t="shared" si="3"/>
        <v/>
      </c>
    </row>
    <row r="57" spans="1:19" x14ac:dyDescent="0.55000000000000004">
      <c r="A57" s="3">
        <f>INPUT!A63</f>
        <v>54</v>
      </c>
      <c r="B57" s="3">
        <f>INPUT!B63</f>
        <v>0</v>
      </c>
      <c r="C57" s="3">
        <f>INPUT!C63</f>
        <v>0</v>
      </c>
      <c r="D57" s="3">
        <f>INPUT!D63</f>
        <v>0</v>
      </c>
      <c r="E57" s="3">
        <f>INPUT!E63</f>
        <v>0</v>
      </c>
      <c r="F57" s="3" t="str">
        <f>INPUT!F63</f>
        <v>NA</v>
      </c>
      <c r="G57" s="3">
        <f>INPUT!G63</f>
        <v>0</v>
      </c>
      <c r="H57" s="3" t="str">
        <f ca="1">IF(C57="","",IFERROR(_xludf.XLOOKUP(B57&amp;"|"&amp;C57&amp;"|"&amp;D57&amp;"|"&amp;E57,DUE_DATE_MASTER!I:I,DUE_DATE_MASTER!E:E,""),IF(B57="MONTH",DATE(VALUE(LEFT(C57,4)),VALUE(MID(C57,6,2))+1,20),IF(B57="QUARTER",DATE(YEAR(EOMONTH(INPUT!M63,0)),MONTH(EOMONTH(INPUT!M63,0))+1,IF(E57="A",22,24)),""))))</f>
        <v/>
      </c>
      <c r="I57" s="3" t="str">
        <f t="shared" ca="1" si="2"/>
        <v/>
      </c>
      <c r="J57" s="3">
        <f>INPUT!H63</f>
        <v>0</v>
      </c>
      <c r="K57" s="3">
        <f>INPUT!I63</f>
        <v>0</v>
      </c>
      <c r="L57" s="3">
        <f>INPUT!J63</f>
        <v>0</v>
      </c>
      <c r="M57" s="3"/>
      <c r="N57" s="3"/>
      <c r="O57" s="3"/>
      <c r="P57" s="3"/>
      <c r="Q57" s="3"/>
      <c r="R57" s="3"/>
      <c r="S57" s="3" t="str">
        <f t="shared" si="3"/>
        <v/>
      </c>
    </row>
    <row r="58" spans="1:19" x14ac:dyDescent="0.55000000000000004">
      <c r="A58" s="3">
        <f>INPUT!A64</f>
        <v>55</v>
      </c>
      <c r="B58" s="3">
        <f>INPUT!B64</f>
        <v>0</v>
      </c>
      <c r="C58" s="3">
        <f>INPUT!C64</f>
        <v>0</v>
      </c>
      <c r="D58" s="3">
        <f>INPUT!D64</f>
        <v>0</v>
      </c>
      <c r="E58" s="3">
        <f>INPUT!E64</f>
        <v>0</v>
      </c>
      <c r="F58" s="3" t="str">
        <f>INPUT!F64</f>
        <v>NA</v>
      </c>
      <c r="G58" s="3">
        <f>INPUT!G64</f>
        <v>0</v>
      </c>
      <c r="H58" s="3" t="str">
        <f ca="1">IF(C58="","",IFERROR(_xludf.XLOOKUP(B58&amp;"|"&amp;C58&amp;"|"&amp;D58&amp;"|"&amp;E58,DUE_DATE_MASTER!I:I,DUE_DATE_MASTER!E:E,""),IF(B58="MONTH",DATE(VALUE(LEFT(C58,4)),VALUE(MID(C58,6,2))+1,20),IF(B58="QUARTER",DATE(YEAR(EOMONTH(INPUT!M64,0)),MONTH(EOMONTH(INPUT!M64,0))+1,IF(E58="A",22,24)),""))))</f>
        <v/>
      </c>
      <c r="I58" s="3" t="str">
        <f t="shared" ca="1" si="2"/>
        <v/>
      </c>
      <c r="J58" s="3">
        <f>INPUT!H64</f>
        <v>0</v>
      </c>
      <c r="K58" s="3">
        <f>INPUT!I64</f>
        <v>0</v>
      </c>
      <c r="L58" s="3">
        <f>INPUT!J64</f>
        <v>0</v>
      </c>
      <c r="M58" s="3"/>
      <c r="N58" s="3"/>
      <c r="O58" s="3"/>
      <c r="P58" s="3"/>
      <c r="Q58" s="3"/>
      <c r="R58" s="3"/>
      <c r="S58" s="3" t="str">
        <f t="shared" si="3"/>
        <v/>
      </c>
    </row>
    <row r="59" spans="1:19" x14ac:dyDescent="0.55000000000000004">
      <c r="A59" s="3">
        <f>INPUT!A65</f>
        <v>56</v>
      </c>
      <c r="B59" s="3">
        <f>INPUT!B65</f>
        <v>0</v>
      </c>
      <c r="C59" s="3">
        <f>INPUT!C65</f>
        <v>0</v>
      </c>
      <c r="D59" s="3">
        <f>INPUT!D65</f>
        <v>0</v>
      </c>
      <c r="E59" s="3">
        <f>INPUT!E65</f>
        <v>0</v>
      </c>
      <c r="F59" s="3" t="str">
        <f>INPUT!F65</f>
        <v>NA</v>
      </c>
      <c r="G59" s="3">
        <f>INPUT!G65</f>
        <v>0</v>
      </c>
      <c r="H59" s="3" t="str">
        <f ca="1">IF(C59="","",IFERROR(_xludf.XLOOKUP(B59&amp;"|"&amp;C59&amp;"|"&amp;D59&amp;"|"&amp;E59,DUE_DATE_MASTER!I:I,DUE_DATE_MASTER!E:E,""),IF(B59="MONTH",DATE(VALUE(LEFT(C59,4)),VALUE(MID(C59,6,2))+1,20),IF(B59="QUARTER",DATE(YEAR(EOMONTH(INPUT!M65,0)),MONTH(EOMONTH(INPUT!M65,0))+1,IF(E59="A",22,24)),""))))</f>
        <v/>
      </c>
      <c r="I59" s="3" t="str">
        <f t="shared" ca="1" si="2"/>
        <v/>
      </c>
      <c r="J59" s="3">
        <f>INPUT!H65</f>
        <v>0</v>
      </c>
      <c r="K59" s="3">
        <f>INPUT!I65</f>
        <v>0</v>
      </c>
      <c r="L59" s="3">
        <f>INPUT!J65</f>
        <v>0</v>
      </c>
      <c r="M59" s="3"/>
      <c r="N59" s="3"/>
      <c r="O59" s="3"/>
      <c r="P59" s="3"/>
      <c r="Q59" s="3"/>
      <c r="R59" s="3"/>
      <c r="S59" s="3" t="str">
        <f t="shared" si="3"/>
        <v/>
      </c>
    </row>
    <row r="60" spans="1:19" x14ac:dyDescent="0.55000000000000004">
      <c r="A60" s="3">
        <f>INPUT!A66</f>
        <v>57</v>
      </c>
      <c r="B60" s="3">
        <f>INPUT!B66</f>
        <v>0</v>
      </c>
      <c r="C60" s="3">
        <f>INPUT!C66</f>
        <v>0</v>
      </c>
      <c r="D60" s="3">
        <f>INPUT!D66</f>
        <v>0</v>
      </c>
      <c r="E60" s="3">
        <f>INPUT!E66</f>
        <v>0</v>
      </c>
      <c r="F60" s="3" t="str">
        <f>INPUT!F66</f>
        <v>NA</v>
      </c>
      <c r="G60" s="3">
        <f>INPUT!G66</f>
        <v>0</v>
      </c>
      <c r="H60" s="3" t="str">
        <f ca="1">IF(C60="","",IFERROR(_xludf.XLOOKUP(B60&amp;"|"&amp;C60&amp;"|"&amp;D60&amp;"|"&amp;E60,DUE_DATE_MASTER!I:I,DUE_DATE_MASTER!E:E,""),IF(B60="MONTH",DATE(VALUE(LEFT(C60,4)),VALUE(MID(C60,6,2))+1,20),IF(B60="QUARTER",DATE(YEAR(EOMONTH(INPUT!M66,0)),MONTH(EOMONTH(INPUT!M66,0))+1,IF(E60="A",22,24)),""))))</f>
        <v/>
      </c>
      <c r="I60" s="3" t="str">
        <f t="shared" ca="1" si="2"/>
        <v/>
      </c>
      <c r="J60" s="3">
        <f>INPUT!H66</f>
        <v>0</v>
      </c>
      <c r="K60" s="3">
        <f>INPUT!I66</f>
        <v>0</v>
      </c>
      <c r="L60" s="3">
        <f>INPUT!J66</f>
        <v>0</v>
      </c>
      <c r="M60" s="3"/>
      <c r="N60" s="3"/>
      <c r="O60" s="3"/>
      <c r="P60" s="3"/>
      <c r="Q60" s="3"/>
      <c r="R60" s="3"/>
      <c r="S60" s="3" t="str">
        <f t="shared" si="3"/>
        <v/>
      </c>
    </row>
    <row r="61" spans="1:19" x14ac:dyDescent="0.55000000000000004">
      <c r="A61" s="3">
        <f>INPUT!A67</f>
        <v>58</v>
      </c>
      <c r="B61" s="3">
        <f>INPUT!B67</f>
        <v>0</v>
      </c>
      <c r="C61" s="3">
        <f>INPUT!C67</f>
        <v>0</v>
      </c>
      <c r="D61" s="3">
        <f>INPUT!D67</f>
        <v>0</v>
      </c>
      <c r="E61" s="3">
        <f>INPUT!E67</f>
        <v>0</v>
      </c>
      <c r="F61" s="3" t="str">
        <f>INPUT!F67</f>
        <v>NA</v>
      </c>
      <c r="G61" s="3">
        <f>INPUT!G67</f>
        <v>0</v>
      </c>
      <c r="H61" s="3" t="str">
        <f ca="1">IF(C61="","",IFERROR(_xludf.XLOOKUP(B61&amp;"|"&amp;C61&amp;"|"&amp;D61&amp;"|"&amp;E61,DUE_DATE_MASTER!I:I,DUE_DATE_MASTER!E:E,""),IF(B61="MONTH",DATE(VALUE(LEFT(C61,4)),VALUE(MID(C61,6,2))+1,20),IF(B61="QUARTER",DATE(YEAR(EOMONTH(INPUT!M67,0)),MONTH(EOMONTH(INPUT!M67,0))+1,IF(E61="A",22,24)),""))))</f>
        <v/>
      </c>
      <c r="I61" s="3" t="str">
        <f t="shared" ca="1" si="2"/>
        <v/>
      </c>
      <c r="J61" s="3">
        <f>INPUT!H67</f>
        <v>0</v>
      </c>
      <c r="K61" s="3">
        <f>INPUT!I67</f>
        <v>0</v>
      </c>
      <c r="L61" s="3">
        <f>INPUT!J67</f>
        <v>0</v>
      </c>
      <c r="M61" s="3"/>
      <c r="N61" s="3"/>
      <c r="O61" s="3"/>
      <c r="P61" s="3"/>
      <c r="Q61" s="3"/>
      <c r="R61" s="3"/>
      <c r="S61" s="3" t="str">
        <f t="shared" si="3"/>
        <v/>
      </c>
    </row>
    <row r="62" spans="1:19" x14ac:dyDescent="0.55000000000000004">
      <c r="A62" s="3">
        <f>INPUT!A68</f>
        <v>59</v>
      </c>
      <c r="B62" s="3">
        <f>INPUT!B68</f>
        <v>0</v>
      </c>
      <c r="C62" s="3">
        <f>INPUT!C68</f>
        <v>0</v>
      </c>
      <c r="D62" s="3">
        <f>INPUT!D68</f>
        <v>0</v>
      </c>
      <c r="E62" s="3">
        <f>INPUT!E68</f>
        <v>0</v>
      </c>
      <c r="F62" s="3" t="str">
        <f>INPUT!F68</f>
        <v>NA</v>
      </c>
      <c r="G62" s="3">
        <f>INPUT!G68</f>
        <v>0</v>
      </c>
      <c r="H62" s="3" t="str">
        <f ca="1">IF(C62="","",IFERROR(_xludf.XLOOKUP(B62&amp;"|"&amp;C62&amp;"|"&amp;D62&amp;"|"&amp;E62,DUE_DATE_MASTER!I:I,DUE_DATE_MASTER!E:E,""),IF(B62="MONTH",DATE(VALUE(LEFT(C62,4)),VALUE(MID(C62,6,2))+1,20),IF(B62="QUARTER",DATE(YEAR(EOMONTH(INPUT!M68,0)),MONTH(EOMONTH(INPUT!M68,0))+1,IF(E62="A",22,24)),""))))</f>
        <v/>
      </c>
      <c r="I62" s="3" t="str">
        <f t="shared" ca="1" si="2"/>
        <v/>
      </c>
      <c r="J62" s="3">
        <f>INPUT!H68</f>
        <v>0</v>
      </c>
      <c r="K62" s="3">
        <f>INPUT!I68</f>
        <v>0</v>
      </c>
      <c r="L62" s="3">
        <f>INPUT!J68</f>
        <v>0</v>
      </c>
      <c r="M62" s="3"/>
      <c r="N62" s="3"/>
      <c r="O62" s="3"/>
      <c r="P62" s="3"/>
      <c r="Q62" s="3"/>
      <c r="R62" s="3"/>
      <c r="S62" s="3" t="str">
        <f t="shared" si="3"/>
        <v/>
      </c>
    </row>
    <row r="63" spans="1:19" x14ac:dyDescent="0.55000000000000004">
      <c r="A63" s="3">
        <f>INPUT!A69</f>
        <v>60</v>
      </c>
      <c r="B63" s="3">
        <f>INPUT!B69</f>
        <v>0</v>
      </c>
      <c r="C63" s="3">
        <f>INPUT!C69</f>
        <v>0</v>
      </c>
      <c r="D63" s="3">
        <f>INPUT!D69</f>
        <v>0</v>
      </c>
      <c r="E63" s="3">
        <f>INPUT!E69</f>
        <v>0</v>
      </c>
      <c r="F63" s="3" t="str">
        <f>INPUT!F69</f>
        <v>NA</v>
      </c>
      <c r="G63" s="3">
        <f>INPUT!G69</f>
        <v>0</v>
      </c>
      <c r="H63" s="3" t="str">
        <f ca="1">IF(C63="","",IFERROR(_xludf.XLOOKUP(B63&amp;"|"&amp;C63&amp;"|"&amp;D63&amp;"|"&amp;E63,DUE_DATE_MASTER!I:I,DUE_DATE_MASTER!E:E,""),IF(B63="MONTH",DATE(VALUE(LEFT(C63,4)),VALUE(MID(C63,6,2))+1,20),IF(B63="QUARTER",DATE(YEAR(EOMONTH(INPUT!M69,0)),MONTH(EOMONTH(INPUT!M69,0))+1,IF(E63="A",22,24)),""))))</f>
        <v/>
      </c>
      <c r="I63" s="3" t="str">
        <f t="shared" ca="1" si="2"/>
        <v/>
      </c>
      <c r="J63" s="3">
        <f>INPUT!H69</f>
        <v>0</v>
      </c>
      <c r="K63" s="3">
        <f>INPUT!I69</f>
        <v>0</v>
      </c>
      <c r="L63" s="3">
        <f>INPUT!J69</f>
        <v>0</v>
      </c>
      <c r="M63" s="3"/>
      <c r="N63" s="3"/>
      <c r="O63" s="3"/>
      <c r="P63" s="3"/>
      <c r="Q63" s="3"/>
      <c r="R63" s="3"/>
      <c r="S63" s="3" t="str">
        <f t="shared" si="3"/>
        <v/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tabSelected="1" workbookViewId="0">
      <selection sqref="A1:H1"/>
    </sheetView>
  </sheetViews>
  <sheetFormatPr defaultRowHeight="14.4" x14ac:dyDescent="0.55000000000000004"/>
  <cols>
    <col min="1" max="1" width="28" customWidth="1"/>
    <col min="2" max="2" width="20" customWidth="1"/>
    <col min="3" max="8" width="12" customWidth="1"/>
  </cols>
  <sheetData>
    <row r="1" spans="1:8" x14ac:dyDescent="0.55000000000000004">
      <c r="A1" s="7" t="s">
        <v>226</v>
      </c>
      <c r="B1" s="8"/>
      <c r="C1" s="8"/>
      <c r="D1" s="8"/>
      <c r="E1" s="8"/>
      <c r="F1" s="8"/>
      <c r="G1" s="8"/>
      <c r="H1" s="8"/>
    </row>
    <row r="3" spans="1:8" x14ac:dyDescent="0.55000000000000004">
      <c r="A3" s="1" t="s">
        <v>227</v>
      </c>
    </row>
    <row r="5" spans="1:8" x14ac:dyDescent="0.55000000000000004">
      <c r="A5" s="4" t="s">
        <v>228</v>
      </c>
      <c r="B5" s="5">
        <f>SUM(CALC!P:P)</f>
        <v>0</v>
      </c>
    </row>
    <row r="6" spans="1:8" x14ac:dyDescent="0.55000000000000004">
      <c r="A6" s="4" t="s">
        <v>229</v>
      </c>
      <c r="B6" s="5">
        <f>SUM(CALC!Q:Q)</f>
        <v>0</v>
      </c>
    </row>
    <row r="7" spans="1:8" x14ac:dyDescent="0.55000000000000004">
      <c r="A7" s="4" t="s">
        <v>230</v>
      </c>
      <c r="B7" s="5">
        <f>SUM(CALC!R:R)</f>
        <v>0</v>
      </c>
    </row>
    <row r="8" spans="1:8" x14ac:dyDescent="0.55000000000000004">
      <c r="A8" s="4" t="s">
        <v>225</v>
      </c>
      <c r="B8" s="5">
        <f>SUM(CALC!S:S)</f>
        <v>0</v>
      </c>
    </row>
    <row r="9" spans="1:8" x14ac:dyDescent="0.55000000000000004">
      <c r="A9" s="4"/>
      <c r="B9" s="5"/>
    </row>
    <row r="10" spans="1:8" x14ac:dyDescent="0.55000000000000004">
      <c r="A10" s="4" t="s">
        <v>231</v>
      </c>
      <c r="B10" s="5">
        <f ca="1">COUNTIF(CALC!I:I,"&gt;0")</f>
        <v>0</v>
      </c>
    </row>
    <row r="12" spans="1:8" x14ac:dyDescent="0.55000000000000004">
      <c r="A12" s="1" t="s">
        <v>232</v>
      </c>
    </row>
    <row r="13" spans="1:8" x14ac:dyDescent="0.55000000000000004">
      <c r="A13" t="s">
        <v>233</v>
      </c>
    </row>
    <row r="14" spans="1:8" x14ac:dyDescent="0.55000000000000004">
      <c r="A14" t="s">
        <v>234</v>
      </c>
    </row>
    <row r="15" spans="1:8" x14ac:dyDescent="0.55000000000000004">
      <c r="A15" t="s">
        <v>235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DUE_DATE_MASTER</vt:lpstr>
      <vt:lpstr>INTEREST_RELIEF_RULES</vt:lpstr>
      <vt:lpstr>CALC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k35077</cp:lastModifiedBy>
  <dcterms:created xsi:type="dcterms:W3CDTF">2026-01-12T05:40:39Z</dcterms:created>
  <dcterms:modified xsi:type="dcterms:W3CDTF">2026-01-12T06:57:49Z</dcterms:modified>
</cp:coreProperties>
</file>